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D03590\Downloads\"/>
    </mc:Choice>
  </mc:AlternateContent>
  <xr:revisionPtr revIDLastSave="0" documentId="8_{146171FE-8AC8-4C0C-80DC-F26D4EBD795D}" xr6:coauthVersionLast="47" xr6:coauthVersionMax="47" xr10:uidLastSave="{00000000-0000-0000-0000-000000000000}"/>
  <bookViews>
    <workbookView xWindow="-120" yWindow="-120" windowWidth="29040" windowHeight="15840" activeTab="2" xr2:uid="{00000000-000D-0000-FFFF-FFFF00000000}"/>
  </bookViews>
  <sheets>
    <sheet name="Master Plan" sheetId="1" r:id="rId1"/>
    <sheet name="Feature Checklist MVP" sheetId="2" r:id="rId2"/>
    <sheet name="MVP Work Breakdow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8" i="2" l="1"/>
  <c r="N7" i="2"/>
  <c r="N6" i="2"/>
  <c r="N5" i="2"/>
  <c r="N4" i="2"/>
  <c r="N3" i="2"/>
</calcChain>
</file>

<file path=xl/sharedStrings.xml><?xml version="1.0" encoding="utf-8"?>
<sst xmlns="http://schemas.openxmlformats.org/spreadsheetml/2006/main" count="646" uniqueCount="414">
  <si>
    <t>MASTER PLAN MVP - AI IMPACT RADAR</t>
  </si>
  <si>
    <t>Kế hoạch tổng thể triển khai MVP trong 12 tuần, tham chiếu theo khuôn mẫu master plan nhưng tối ưu cho dự án AI theo dõi và tổng hợp thông tin tác động doanh nghiệp.</t>
  </si>
  <si>
    <t>Thông tin dự án</t>
  </si>
  <si>
    <t>Giá trị</t>
  </si>
  <si>
    <t>Tên dự án</t>
  </si>
  <si>
    <t>AI Impact Radar - MVP</t>
  </si>
  <si>
    <t>Mục tiêu</t>
  </si>
  <si>
    <t>Thu thập nguồn trọng yếu, tạo insight có trace source, dashboard hoạt động, gửi digest qua Email/Teams.</t>
  </si>
  <si>
    <t>Phạm vi MVP</t>
  </si>
  <si>
    <t>Source management, ingestion, normalize/dedup, insight generation, scoring, dashboard, digest, feedback, monitoring cơ bản.</t>
  </si>
  <si>
    <t>Chu kỳ</t>
  </si>
  <si>
    <t>12 tuần / 3 tháng / 3 nhóm mốc: Design - Build - UAT/Go-live</t>
  </si>
  <si>
    <t>STT</t>
  </si>
  <si>
    <t>Giai đoạn</t>
  </si>
  <si>
    <t>Trụ cột</t>
  </si>
  <si>
    <t>Kết quả/Deliverable</t>
  </si>
  <si>
    <t>Owner</t>
  </si>
  <si>
    <t>Phối hợp</t>
  </si>
  <si>
    <t>Mốc hoàn thành</t>
  </si>
  <si>
    <t>Gate/KPI</t>
  </si>
  <si>
    <t>Khởi động &amp; chốt phạm vi</t>
  </si>
  <si>
    <t>Quản trị dự án</t>
  </si>
  <si>
    <t>Chốt mục tiêu, KPI, stakeholder, scope MVP</t>
  </si>
  <si>
    <t>Project charter, KPI, stakeholder map, scope v1</t>
  </si>
  <si>
    <t>PM/BA</t>
  </si>
  <si>
    <t>Sponsor, Business Owner</t>
  </si>
  <si>
    <t>Cuối Tuần 1</t>
  </si>
  <si>
    <t>Scope được duyệt</t>
  </si>
  <si>
    <t>Thiết kế nghiệp vụ &amp; BA</t>
  </si>
  <si>
    <t>Business/BA</t>
  </si>
  <si>
    <t>Chốt BRD, FRD, business rules, acceptance</t>
  </si>
  <si>
    <t>Bộ tài liệu BA MVP, use case, glossary, UAT criteria</t>
  </si>
  <si>
    <t>BA</t>
  </si>
  <si>
    <t>Business Owner, PM</t>
  </si>
  <si>
    <t>Cuối Tuần 2</t>
  </si>
  <si>
    <t>BA sign-off</t>
  </si>
  <si>
    <t>Thiết kế sản phẩm &amp; kiến trúc</t>
  </si>
  <si>
    <t>Product/Architecture</t>
  </si>
  <si>
    <t>Chốt UI flow, module, architecture, data model, API sơ bộ</t>
  </si>
  <si>
    <t>Wireframe, architecture, ERD, API spec draft</t>
  </si>
  <si>
    <t>Architect</t>
  </si>
  <si>
    <t>BA, FE, BE, Data/AI</t>
  </si>
  <si>
    <t>Cuối Tuần 3</t>
  </si>
  <si>
    <t>Design gate approved</t>
  </si>
  <si>
    <t>Chuẩn bị nguồn dữ liệu</t>
  </si>
  <si>
    <t>Nguồn dữ liệu</t>
  </si>
  <si>
    <t>Whitelist nguồn Phase 1 và source catalog v1</t>
  </si>
  <si>
    <t>Danh mục 20-30 nguồn ưu tiên, crawl policy, trust tier</t>
  </si>
  <si>
    <t>BA/Data</t>
  </si>
  <si>
    <t>Business Owner, Architect</t>
  </si>
  <si>
    <t>Source catalog approved</t>
  </si>
  <si>
    <t>Setup nền tảng kỹ thuật</t>
  </si>
  <si>
    <t>Nền tảng</t>
  </si>
  <si>
    <t>Repo, môi trường dev/test, auth cơ bản, DB, queue, CI</t>
  </si>
  <si>
    <t>Khung hệ thống chạy local/test, CI baseline</t>
  </si>
  <si>
    <t>BE/DevOps</t>
  </si>
  <si>
    <t>FE, Architect</t>
  </si>
  <si>
    <t>Cuối Tuần 4</t>
  </si>
  <si>
    <t>Environment ready</t>
  </si>
  <si>
    <t>Source Management &amp; RBAC</t>
  </si>
  <si>
    <t>Quản trị</t>
  </si>
  <si>
    <t>Làm màn hình/source CRUD và phân quyền cơ bản</t>
  </si>
  <si>
    <t>Source CRUD API/UI, auth, role model, audit log</t>
  </si>
  <si>
    <t>BE/FE</t>
  </si>
  <si>
    <t>Architect, QA</t>
  </si>
  <si>
    <t>Cuối Tuần 5</t>
  </si>
  <si>
    <t>Admin workflow usable</t>
  </si>
  <si>
    <t>Ingestion connectors</t>
  </si>
  <si>
    <t>Dữ liệu</t>
  </si>
  <si>
    <t>Lấy dữ liệu từ RSS, web parser, GitHub release, legal source mẫu</t>
  </si>
  <si>
    <t>Scheduler, connectors, raw storage, job log</t>
  </si>
  <si>
    <t>BE/Data</t>
  </si>
  <si>
    <t>Cuối Tuần 6</t>
  </si>
  <si>
    <t>Ingest &gt;= 3 loại nguồn</t>
  </si>
  <si>
    <t>Normalization &amp; dedup</t>
  </si>
  <si>
    <t>Làm sạch dữ liệu và chống trùng cơ bản</t>
  </si>
  <si>
    <t>Normalized document, metadata extract, dedup key</t>
  </si>
  <si>
    <t>QA</t>
  </si>
  <si>
    <t>Cuối Tuần 7</t>
  </si>
  <si>
    <t>Data quality baseline</t>
  </si>
  <si>
    <t>Insight generation</t>
  </si>
  <si>
    <t>AI/Phân tích</t>
  </si>
  <si>
    <t>Phân loại topic, event type, summary short/medium</t>
  </si>
  <si>
    <t>Insight repository v1, source links, summaries</t>
  </si>
  <si>
    <t>Data/AI</t>
  </si>
  <si>
    <t>BE, BA</t>
  </si>
  <si>
    <t>Cuối Tuần 8</t>
  </si>
  <si>
    <t>Insight có trace source</t>
  </si>
  <si>
    <t>Scoring &amp; rules</t>
  </si>
  <si>
    <t>Rule engine</t>
  </si>
  <si>
    <t>Gắn trust/impact/department/recommendation</t>
  </si>
  <si>
    <t>Scoring service v1, routing logic v1</t>
  </si>
  <si>
    <t>BA, BE</t>
  </si>
  <si>
    <t>Trust/impact labels usable</t>
  </si>
  <si>
    <t>Dashboard &amp; insight detail</t>
  </si>
  <si>
    <t>UI/UX</t>
  </si>
  <si>
    <t>Hiển thị KPI, insight list, insight detail, team/executive basic view</t>
  </si>
  <si>
    <t>Dashboard MVP, insight detail page, filters</t>
  </si>
  <si>
    <t>FE</t>
  </si>
  <si>
    <t>BE, BA, QA</t>
  </si>
  <si>
    <t>Cuối Tuần 9</t>
  </si>
  <si>
    <t>User đọc insight được</t>
  </si>
  <si>
    <t>Delivery &amp; notification</t>
  </si>
  <si>
    <t>Delivery</t>
  </si>
  <si>
    <t>Gửi digest qua Email và Teams</t>
  </si>
  <si>
    <t>Delivery rules v1, digest builder, logs</t>
  </si>
  <si>
    <t>BE</t>
  </si>
  <si>
    <t>FE, QA</t>
  </si>
  <si>
    <t>Cuối Tuần 10</t>
  </si>
  <si>
    <t>Digest gửi thử thành công</t>
  </si>
  <si>
    <t>Feedback &amp; monitoring</t>
  </si>
  <si>
    <t>Vận hành</t>
  </si>
  <si>
    <t>Thu feedback và xem jobs/health</t>
  </si>
  <si>
    <t>Feedback form, jobs screen, health endpoint</t>
  </si>
  <si>
    <t>QA, Ops</t>
  </si>
  <si>
    <t>Admin theo dõi vận hành được</t>
  </si>
  <si>
    <t>Kiểm thử &amp; UAT vòng 1</t>
  </si>
  <si>
    <t>QA/UAT</t>
  </si>
  <si>
    <t>Kiểm thử chức năng chính với user đại diện</t>
  </si>
  <si>
    <t>Test report, defect list, UAT feedback round 1</t>
  </si>
  <si>
    <t>BA, Business Owner</t>
  </si>
  <si>
    <t>Cuối Tuần 11</t>
  </si>
  <si>
    <t>Critical bug list chốt</t>
  </si>
  <si>
    <t>Hoàn thiện &amp; Go-live</t>
  </si>
  <si>
    <t>Release</t>
  </si>
  <si>
    <t>Fix bug, hardening, checklist release, handover</t>
  </si>
  <si>
    <t>Release candidate, deploy checklist, handover pack</t>
  </si>
  <si>
    <t>PM/BE/DevOps</t>
  </si>
  <si>
    <t>QA, BA, Sponsor</t>
  </si>
  <si>
    <t>Cuối Tuần 12</t>
  </si>
  <si>
    <t>Go-live approved</t>
  </si>
  <si>
    <t>CHECKLIST TÍNH NĂNG MVP - AI IMPACT RADAR</t>
  </si>
  <si>
    <t>TÓM TẮT MVP</t>
  </si>
  <si>
    <t>Module</t>
  </si>
  <si>
    <t>Nhóm tính năng</t>
  </si>
  <si>
    <t>Tính năng cụ thể</t>
  </si>
  <si>
    <t>Admin</t>
  </si>
  <si>
    <t>End-user</t>
  </si>
  <si>
    <t>Mô tả / Giá trị</t>
  </si>
  <si>
    <t>Ví dụ sử dụng</t>
  </si>
  <si>
    <t>Trạng thái kế hoạch</t>
  </si>
  <si>
    <t>Ưu tiên</t>
  </si>
  <si>
    <t>Ghi chú</t>
  </si>
  <si>
    <t>Chỉ số</t>
  </si>
  <si>
    <t>Auth &amp; RBAC</t>
  </si>
  <si>
    <t>Đăng nhập</t>
  </si>
  <si>
    <t>Đăng nhập hệ thống</t>
  </si>
  <si>
    <t>x</t>
  </si>
  <si>
    <t>Cho phép user truy cập hệ thống an toàn bằng tài khoản hoặc SSO.</t>
  </si>
  <si>
    <t>Đăng nhập và vào dashboard</t>
  </si>
  <si>
    <t>MVP</t>
  </si>
  <si>
    <t>P0</t>
  </si>
  <si>
    <t>Tổng tính năng</t>
  </si>
  <si>
    <t>Phân quyền</t>
  </si>
  <si>
    <t>Phân quyền Admin / Manager / Specialist</t>
  </si>
  <si>
    <t>Giới hạn quyền theo vai trò và module.</t>
  </si>
  <si>
    <t>Admin quản trị nguồn, user thường chỉ xem insight</t>
  </si>
  <si>
    <t>Tính năng MVP</t>
  </si>
  <si>
    <t>Source Management</t>
  </si>
  <si>
    <t>Quản trị nguồn</t>
  </si>
  <si>
    <t>Thêm/Sửa/Tắt nguồn</t>
  </si>
  <si>
    <t>Admin cấu hình nguồn, lịch crawl, trust tier mặc định.</t>
  </si>
  <si>
    <t>Thêm nguồn GitHub Changelog</t>
  </si>
  <si>
    <t>Should</t>
  </si>
  <si>
    <t>Kiểm tra nguồn</t>
  </si>
  <si>
    <t>Test ingest preview</t>
  </si>
  <si>
    <t>Kiểm tra nhanh dữ liệu lấy được trước khi active nguồn.</t>
  </si>
  <si>
    <t>Preview nguồn pháp lý</t>
  </si>
  <si>
    <t>P1</t>
  </si>
  <si>
    <t>Có thể tối giản ở bản đầu</t>
  </si>
  <si>
    <t>Phase 2</t>
  </si>
  <si>
    <t>Ingestion</t>
  </si>
  <si>
    <t>Connector</t>
  </si>
  <si>
    <t>RSS connector</t>
  </si>
  <si>
    <t>Lấy dữ liệu từ RSS/news feeds có cấu trúc.</t>
  </si>
  <si>
    <t>Google Search Central News</t>
  </si>
  <si>
    <t>Web parser cơ bản</t>
  </si>
  <si>
    <t>Lấy dữ liệu từ website có cấu trúc HTML ổn định.</t>
  </si>
  <si>
    <t>OpenAI News page</t>
  </si>
  <si>
    <t>GitHub release connector</t>
  </si>
  <si>
    <t>Lấy release/changelog từ repo trọng yếu.</t>
  </si>
  <si>
    <t>Open-source tool releases</t>
  </si>
  <si>
    <t>Legal source connector mẫu</t>
  </si>
  <si>
    <t>Lấy dữ liệu từ nguồn pháp lý/chính phủ đã whitelist.</t>
  </si>
  <si>
    <t>vanban.chinhphu.vn</t>
  </si>
  <si>
    <t>Data Processing</t>
  </si>
  <si>
    <t>Chuẩn hóa</t>
  </si>
  <si>
    <t>Làm sạch HTML/Text</t>
  </si>
  <si>
    <t>Loại bỏ nhiễu và chuẩn hóa nội dung để phân tích.</t>
  </si>
  <si>
    <t>Clean body content</t>
  </si>
  <si>
    <t>Trích xuất metadata</t>
  </si>
  <si>
    <t>Lấy title, publish date, author, domain, language.</t>
  </si>
  <si>
    <t>Metadata extraction</t>
  </si>
  <si>
    <t>Dedup</t>
  </si>
  <si>
    <t>Fingerprint &amp; duplicate detection</t>
  </si>
  <si>
    <t>Giảm trùng lặp exact/near duplicate ở mức cơ bản.</t>
  </si>
  <si>
    <t>Trùng 2 bài release</t>
  </si>
  <si>
    <t>Insight Engine</t>
  </si>
  <si>
    <t>Classification</t>
  </si>
  <si>
    <t>Phân loại topic</t>
  </si>
  <si>
    <t>Gắn chủ đề như AI, Tech, Legal, Security, Content.</t>
  </si>
  <si>
    <t>Topic=AI</t>
  </si>
  <si>
    <t>Phân loại event type</t>
  </si>
  <si>
    <t>Gắn loại sự kiện: release, policy, regulation, trend...</t>
  </si>
  <si>
    <t>Event=Policy change</t>
  </si>
  <si>
    <t>Summary</t>
  </si>
  <si>
    <t>Summary short</t>
  </si>
  <si>
    <t>Tạo tóm tắt ngắn 1-2 câu.</t>
  </si>
  <si>
    <t>Digest summary</t>
  </si>
  <si>
    <t>Summary medium</t>
  </si>
  <si>
    <t>Tạo tóm tắt chi tiết hơn cho trang detail.</t>
  </si>
  <si>
    <t>Insight detail</t>
  </si>
  <si>
    <t>Scoring &amp; Rules</t>
  </si>
  <si>
    <t>Trust</t>
  </si>
  <si>
    <t>Trust label</t>
  </si>
  <si>
    <t>Đánh giá độ tin cậy theo nguồn và corroboration cơ bản.</t>
  </si>
  <si>
    <t>Very High / High / Medium</t>
  </si>
  <si>
    <t>Impact</t>
  </si>
  <si>
    <t>Impact label</t>
  </si>
  <si>
    <t>Gắn mức ảnh hưởng theo topic/event/department.</t>
  </si>
  <si>
    <t>High impact for legal update</t>
  </si>
  <si>
    <t>Routing</t>
  </si>
  <si>
    <t>Department mapping</t>
  </si>
  <si>
    <t>Ánh xạ insight tới team bị ảnh hưởng.</t>
  </si>
  <si>
    <t>Engineering / Legal / Content</t>
  </si>
  <si>
    <t>Action</t>
  </si>
  <si>
    <t>Recommendation cơ bản</t>
  </si>
  <si>
    <t>Gợi ý hành động sơ bộ từ rule/template.</t>
  </si>
  <si>
    <t>Review SOP / notify manager</t>
  </si>
  <si>
    <t>Insight Repository</t>
  </si>
  <si>
    <t>Query</t>
  </si>
  <si>
    <t>Insight list API</t>
  </si>
  <si>
    <t>Lấy danh sách insight có filter.</t>
  </si>
  <si>
    <t>Filter by topic and impact</t>
  </si>
  <si>
    <t>Insight detail API</t>
  </si>
  <si>
    <t>Lấy detail, source links, feedback summary.</t>
  </si>
  <si>
    <t>Open insight detail</t>
  </si>
  <si>
    <t>Dashboard</t>
  </si>
  <si>
    <t>Overview</t>
  </si>
  <si>
    <t>KPI cards</t>
  </si>
  <si>
    <t>Hiển thị tổng số insight, critical alerts, compliance alerts.</t>
  </si>
  <si>
    <t>Dashboard overview</t>
  </si>
  <si>
    <t>Top risks / opportunities</t>
  </si>
  <si>
    <t>Nhấn mạnh những insight cần chú ý.</t>
  </si>
  <si>
    <t>Top 5 risks</t>
  </si>
  <si>
    <t>Listing</t>
  </si>
  <si>
    <t>Insight list + filters</t>
  </si>
  <si>
    <t>Xem insight theo thời gian, topic, impact, trust, department.</t>
  </si>
  <si>
    <t>Filter engineering</t>
  </si>
  <si>
    <t>Detail</t>
  </si>
  <si>
    <t>Insight detail page</t>
  </si>
  <si>
    <t>Xem summary, trust, impact, sources, recommendation.</t>
  </si>
  <si>
    <t>Open detail page</t>
  </si>
  <si>
    <t>View</t>
  </si>
  <si>
    <t>Executive basic view</t>
  </si>
  <si>
    <t>Một dashboard đơn giản cho lãnh đạo.</t>
  </si>
  <si>
    <t>Executive summary</t>
  </si>
  <si>
    <t>P2</t>
  </si>
  <si>
    <t>Team basic view</t>
  </si>
  <si>
    <t>Một view theo team/department.</t>
  </si>
  <si>
    <t>Engineering dashboard</t>
  </si>
  <si>
    <t>Email</t>
  </si>
  <si>
    <t>Email digest</t>
  </si>
  <si>
    <t>Gửi digest hàng ngày/tuần cho nhóm người dùng.</t>
  </si>
  <si>
    <t>Daily digest email</t>
  </si>
  <si>
    <t>Teams</t>
  </si>
  <si>
    <t>Teams digest</t>
  </si>
  <si>
    <t>Gửi digest hoặc alert qua Teams.</t>
  </si>
  <si>
    <t>Teams weekly digest</t>
  </si>
  <si>
    <t>Rule</t>
  </si>
  <si>
    <t>Delivery rule CRUD</t>
  </si>
  <si>
    <t>Cấu hình audience, channel, min impact, schedule.</t>
  </si>
  <si>
    <t>Rule for Legal team</t>
  </si>
  <si>
    <t>Feedback</t>
  </si>
  <si>
    <t>Insight feedback</t>
  </si>
  <si>
    <t>Useful / Not useful / reason</t>
  </si>
  <si>
    <t>Thu phản hồi về chất lượng insight.</t>
  </si>
  <si>
    <t>Wrong target / duplicate</t>
  </si>
  <si>
    <t>Ops &amp; Monitoring</t>
  </si>
  <si>
    <t>Jobs</t>
  </si>
  <si>
    <t>Job monitoring</t>
  </si>
  <si>
    <t>Xem job ingest/process/delivery thành công hay lỗi.</t>
  </si>
  <si>
    <t>Jobs screen</t>
  </si>
  <si>
    <t>Health</t>
  </si>
  <si>
    <t>Health endpoint / system health</t>
  </si>
  <si>
    <t>Kiểm tra trạng thái API, DB, queue và service nền.</t>
  </si>
  <si>
    <t>Health status</t>
  </si>
  <si>
    <t>Search</t>
  </si>
  <si>
    <t>Keyword</t>
  </si>
  <si>
    <t>Search keyword cơ bản</t>
  </si>
  <si>
    <t>Tìm theo title/summary để hỗ trợ truy cập nhanh.</t>
  </si>
  <si>
    <t>Search policy update</t>
  </si>
  <si>
    <t>Chatbot</t>
  </si>
  <si>
    <t>Copilot</t>
  </si>
  <si>
    <t>Grounded chatbot</t>
  </si>
  <si>
    <t>Không thuộc MVP; triển khai phase 2 sau khi curated repository đủ tốt.</t>
  </si>
  <si>
    <t>Hỏi: tuần này ảnh hưởng engineering?</t>
  </si>
  <si>
    <t>P3</t>
  </si>
  <si>
    <t>Ngoài MVP</t>
  </si>
  <si>
    <t>MVP WORK BREAKDOWN - 4 NHÓM CHÍNH</t>
  </si>
  <si>
    <t>Nhóm</t>
  </si>
  <si>
    <t>Mã hạng mục</t>
  </si>
  <si>
    <t>Hạng mục</t>
  </si>
  <si>
    <t>Mô tả chi tiết</t>
  </si>
  <si>
    <t>Deliverable</t>
  </si>
  <si>
    <t>Phụ thuộc</t>
  </si>
  <si>
    <t>Tuần mục tiêu</t>
  </si>
  <si>
    <t>1. Nền tảng &amp; Quản trị</t>
  </si>
  <si>
    <t>G1-01</t>
  </si>
  <si>
    <t>Auth cơ bản</t>
  </si>
  <si>
    <t>Đăng nhập và quản lý role tối thiểu cho admin/user/manager.</t>
  </si>
  <si>
    <t>Login + RBAC</t>
  </si>
  <si>
    <t>Foundation</t>
  </si>
  <si>
    <t>W1-W4</t>
  </si>
  <si>
    <t>G1-02</t>
  </si>
  <si>
    <t>Source management</t>
  </si>
  <si>
    <t>CRUD nguồn, test ingest preview, audit log.</t>
  </si>
  <si>
    <t>Source screen + API</t>
  </si>
  <si>
    <t>Auth</t>
  </si>
  <si>
    <t>W3-W5</t>
  </si>
  <si>
    <t>G1-03</t>
  </si>
  <si>
    <t>Cấu hình rule gửi digest theo team và mức impact.</t>
  </si>
  <si>
    <t>Rule screen + API</t>
  </si>
  <si>
    <t>Insight repository</t>
  </si>
  <si>
    <t>W8-W10</t>
  </si>
  <si>
    <t>2. Thu thập &amp; Xử lý dữ liệu</t>
  </si>
  <si>
    <t>G2-01</t>
  </si>
  <si>
    <t>Kết nối nguồn RSS ưu tiên.</t>
  </si>
  <si>
    <t>RSS ingest</t>
  </si>
  <si>
    <t>W4-W6</t>
  </si>
  <si>
    <t>G2-02</t>
  </si>
  <si>
    <t>Web parser</t>
  </si>
  <si>
    <t>Crawler/parser cơ bản cho trang chính thức.</t>
  </si>
  <si>
    <t>Web ingest</t>
  </si>
  <si>
    <t>G2-03</t>
  </si>
  <si>
    <t>Lấy releases/changelog cho repo trọng yếu.</t>
  </si>
  <si>
    <t>GitHub ingest</t>
  </si>
  <si>
    <t>W5-W6</t>
  </si>
  <si>
    <t>G2-04</t>
  </si>
  <si>
    <t>Legal source connector</t>
  </si>
  <si>
    <t>Tích hợp ít nhất 1 nguồn pháp lý/chính phủ mẫu.</t>
  </si>
  <si>
    <t>Legal ingest</t>
  </si>
  <si>
    <t>G2-05</t>
  </si>
  <si>
    <t>Làm sạch HTML, metadata, fingerprint, dedup basic.</t>
  </si>
  <si>
    <t>Normalized docs</t>
  </si>
  <si>
    <t>Connectors</t>
  </si>
  <si>
    <t>W6-W7</t>
  </si>
  <si>
    <t>3. Insight &amp; Hiển thị</t>
  </si>
  <si>
    <t>G3-01</t>
  </si>
  <si>
    <t>Topic/event classification</t>
  </si>
  <si>
    <t>Phân loại topic và loại sự kiện.</t>
  </si>
  <si>
    <t>Classifier v1</t>
  </si>
  <si>
    <t>W7-W8</t>
  </si>
  <si>
    <t>G3-02</t>
  </si>
  <si>
    <t>Summary generation</t>
  </si>
  <si>
    <t>Sinh summary short và medium.</t>
  </si>
  <si>
    <t>Summaries v1</t>
  </si>
  <si>
    <t>Classifier</t>
  </si>
  <si>
    <t>G3-03</t>
  </si>
  <si>
    <t>Trust/impact scoring</t>
  </si>
  <si>
    <t>Tính trust label, impact label, department mapping.</t>
  </si>
  <si>
    <t>Scoring v1</t>
  </si>
  <si>
    <t>Insight engine</t>
  </si>
  <si>
    <t>W8</t>
  </si>
  <si>
    <t>G3-04</t>
  </si>
  <si>
    <t>Lưu insight, source links, filters cơ bản.</t>
  </si>
  <si>
    <t>Insight APIs</t>
  </si>
  <si>
    <t>Scoring</t>
  </si>
  <si>
    <t>W8-W9</t>
  </si>
  <si>
    <t>G3-05</t>
  </si>
  <si>
    <t>Dashboard + detail</t>
  </si>
  <si>
    <t>Overview, insight list, detail page.</t>
  </si>
  <si>
    <t>UI MVP</t>
  </si>
  <si>
    <t>W9-W10</t>
  </si>
  <si>
    <t>4. Phân phối &amp; Vận hành</t>
  </si>
  <si>
    <t>G4-01</t>
  </si>
  <si>
    <t>Tạo digest định kỳ qua email.</t>
  </si>
  <si>
    <t>Email delivery</t>
  </si>
  <si>
    <t>G4-02</t>
  </si>
  <si>
    <t>Gửi digest/alert qua Teams.</t>
  </si>
  <si>
    <t>Teams delivery</t>
  </si>
  <si>
    <t>G4-03</t>
  </si>
  <si>
    <t>Feedback insight</t>
  </si>
  <si>
    <t>Cho user phản hồi useful/not useful/reason.</t>
  </si>
  <si>
    <t>Feedback UI/API</t>
  </si>
  <si>
    <t>FE/BE</t>
  </si>
  <si>
    <t>W10</t>
  </si>
  <si>
    <t>G4-04</t>
  </si>
  <si>
    <t>Jobs &amp; health</t>
  </si>
  <si>
    <t>Theo dõi ingest/process/delivery và health endpoint.</t>
  </si>
  <si>
    <t>Ops screen</t>
  </si>
  <si>
    <t>Core services</t>
  </si>
  <si>
    <t>G4-05</t>
  </si>
  <si>
    <t>QA/UAT &amp; release</t>
  </si>
  <si>
    <t>Test, defect fix, UAT, release checklist, handover.</t>
  </si>
  <si>
    <t>Release candidate</t>
  </si>
  <si>
    <t>QA/PM</t>
  </si>
  <si>
    <t>Tất cả module MVP</t>
  </si>
  <si>
    <t>W11-W12</t>
  </si>
  <si>
    <t>Tháng 6</t>
  </si>
  <si>
    <t>Tháng 5</t>
  </si>
  <si>
    <t>Tháng 7</t>
  </si>
  <si>
    <t>Tuần 1
(09/05)</t>
  </si>
  <si>
    <t>Tuần 2
(16/05)</t>
  </si>
  <si>
    <t>Tuần 3
(23/05)</t>
  </si>
  <si>
    <t>Tuần 4
(30/05)</t>
  </si>
  <si>
    <t>Tuần 5
(6/06)</t>
  </si>
  <si>
    <t>Tuần 6
(13/06)</t>
  </si>
  <si>
    <t>Tuần 7
(20/06)</t>
  </si>
  <si>
    <t>Tuần 8
(27/06)</t>
  </si>
  <si>
    <t>Tuần 9
(4/07)</t>
  </si>
  <si>
    <t>Tuần 10
(11/07)</t>
  </si>
  <si>
    <t>Tuần 11
(18/07)</t>
  </si>
  <si>
    <t>Tuần 12
(25/07)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</si>
</sst>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color rgb="FFFFFFFF"/>
      <name val="Carlito"/>
    </font>
    <font>
      <b/>
      <sz val="14"/>
      <color rgb="FFFFFFFF"/>
      <name val="Carlito"/>
    </font>
    <font>
      <i/>
      <sz val="11"/>
      <name val="Carlito"/>
    </font>
    <font>
      <sz val="10"/>
      <name val="Carlito"/>
    </font>
    <font>
      <b/>
      <sz val="10"/>
      <name val="Carlito"/>
    </font>
    <font>
      <b/>
      <sz val="13"/>
      <color rgb="FFFFFFFF"/>
      <name val="Carlito"/>
    </font>
    <font>
      <b/>
      <sz val="10"/>
      <color rgb="FFFFFFFF"/>
      <name val="Carlito"/>
    </font>
  </fonts>
  <fills count="10">
    <fill>
      <patternFill patternType="none"/>
    </fill>
    <fill>
      <patternFill patternType="gray125"/>
    </fill>
    <fill>
      <patternFill patternType="solid">
        <fgColor rgb="FF1F4E78"/>
      </patternFill>
    </fill>
    <fill>
      <patternFill patternType="solid">
        <fgColor rgb="FFEEF5FB"/>
      </patternFill>
    </fill>
    <fill>
      <patternFill patternType="solid">
        <fgColor rgb="FFD9EAF7"/>
      </patternFill>
    </fill>
    <fill>
      <patternFill patternType="solid">
        <fgColor rgb="FFF3F4F6"/>
      </patternFill>
    </fill>
    <fill>
      <patternFill patternType="solid">
        <fgColor rgb="FFC6EFD5"/>
      </patternFill>
    </fill>
    <fill>
      <patternFill patternType="solid">
        <fgColor rgb="FF00B050"/>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16">
    <xf numFmtId="0" fontId="0" fillId="0" borderId="0" xfId="0"/>
    <xf numFmtId="0" fontId="1" fillId="2" borderId="0" xfId="0" applyNumberFormat="1" applyFont="1" applyFill="1" applyBorder="1" applyAlignment="1">
      <alignment horizontal="center" vertical="center" wrapText="1"/>
    </xf>
    <xf numFmtId="0" fontId="4" fillId="0" borderId="0" xfId="0" applyNumberFormat="1" applyFont="1" applyFill="1" applyBorder="1" applyAlignment="1">
      <alignment vertical="top" wrapText="1"/>
    </xf>
    <xf numFmtId="0" fontId="5" fillId="4" borderId="0" xfId="0" applyNumberFormat="1" applyFont="1" applyFill="1" applyBorder="1" applyAlignment="1">
      <alignment horizontal="center" vertical="center" wrapText="1"/>
    </xf>
    <xf numFmtId="0" fontId="4" fillId="5" borderId="0" xfId="0" applyNumberFormat="1" applyFont="1" applyFill="1" applyBorder="1" applyAlignment="1">
      <alignment vertical="top" wrapText="1"/>
    </xf>
    <xf numFmtId="0" fontId="4" fillId="6" borderId="0" xfId="0" applyNumberFormat="1" applyFont="1" applyFill="1" applyBorder="1" applyAlignment="1">
      <alignment vertical="top" wrapText="1"/>
    </xf>
    <xf numFmtId="0" fontId="4" fillId="7" borderId="0" xfId="0" applyNumberFormat="1" applyFont="1" applyFill="1" applyBorder="1" applyAlignment="1">
      <alignment vertical="top" wrapText="1"/>
    </xf>
    <xf numFmtId="0" fontId="7" fillId="2" borderId="0" xfId="0" applyNumberFormat="1" applyFont="1" applyFill="1" applyBorder="1" applyAlignment="1">
      <alignment horizontal="center" vertical="center" wrapText="1"/>
    </xf>
    <xf numFmtId="0" fontId="4" fillId="8" borderId="0" xfId="0" applyNumberFormat="1" applyFont="1" applyFill="1" applyBorder="1" applyAlignment="1">
      <alignment vertical="top" wrapText="1"/>
    </xf>
    <xf numFmtId="0" fontId="4" fillId="9" borderId="0" xfId="0" applyNumberFormat="1" applyFont="1" applyFill="1" applyBorder="1" applyAlignment="1">
      <alignment vertical="top" wrapText="1"/>
    </xf>
    <xf numFmtId="0" fontId="5" fillId="3" borderId="0" xfId="0" applyNumberFormat="1" applyFont="1" applyFill="1" applyBorder="1" applyAlignment="1">
      <alignment vertical="top" wrapText="1"/>
    </xf>
    <xf numFmtId="0" fontId="5" fillId="6" borderId="0" xfId="0" applyNumberFormat="1" applyFont="1" applyFill="1" applyBorder="1" applyAlignment="1">
      <alignment vertical="top" wrapText="1"/>
    </xf>
    <xf numFmtId="0" fontId="2" fillId="2" borderId="0" xfId="0" applyNumberFormat="1" applyFont="1" applyFill="1" applyBorder="1" applyAlignment="1">
      <alignment horizontal="center" vertical="center" wrapText="1"/>
    </xf>
    <xf numFmtId="0" fontId="3" fillId="3" borderId="0" xfId="0" applyNumberFormat="1" applyFont="1" applyFill="1" applyBorder="1" applyAlignment="1">
      <alignment wrapText="1"/>
    </xf>
    <xf numFmtId="0" fontId="1" fillId="2" borderId="0"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6"/>
  <sheetViews>
    <sheetView topLeftCell="A10" zoomScale="85" zoomScaleNormal="85" workbookViewId="0">
      <selection activeCell="U12" sqref="U12"/>
    </sheetView>
  </sheetViews>
  <sheetFormatPr defaultRowHeight="14.25"/>
  <cols>
    <col min="1" max="1" width="14" customWidth="1"/>
    <col min="2" max="2" width="42" customWidth="1"/>
    <col min="3" max="3" width="14" customWidth="1"/>
    <col min="4" max="4" width="18" customWidth="1"/>
    <col min="5" max="5" width="32" customWidth="1"/>
    <col min="6" max="6" width="12" customWidth="1"/>
    <col min="7" max="7" width="14" customWidth="1"/>
    <col min="8" max="8" width="12" customWidth="1"/>
    <col min="9" max="9" width="14" customWidth="1"/>
    <col min="10" max="21" width="8" customWidth="1"/>
  </cols>
  <sheetData>
    <row r="1" spans="1:21" ht="18">
      <c r="A1" s="12" t="s">
        <v>0</v>
      </c>
      <c r="B1" s="12"/>
      <c r="C1" s="12"/>
      <c r="D1" s="12"/>
      <c r="E1" s="12"/>
      <c r="F1" s="12"/>
      <c r="G1" s="12"/>
      <c r="H1" s="12"/>
      <c r="I1" s="12"/>
      <c r="J1" s="12"/>
      <c r="K1" s="12"/>
      <c r="L1" s="12"/>
      <c r="M1" s="12"/>
      <c r="N1" s="12"/>
      <c r="O1" s="12"/>
      <c r="P1" s="12"/>
      <c r="Q1" s="12"/>
      <c r="R1" s="12"/>
      <c r="S1" s="12"/>
      <c r="T1" s="12"/>
      <c r="U1" s="12"/>
    </row>
    <row r="2" spans="1:21">
      <c r="A2" s="13" t="s">
        <v>1</v>
      </c>
      <c r="B2" s="13"/>
      <c r="C2" s="13"/>
      <c r="D2" s="13"/>
      <c r="E2" s="13"/>
      <c r="F2" s="13"/>
      <c r="G2" s="13"/>
      <c r="H2" s="13"/>
      <c r="I2" s="13"/>
      <c r="J2" s="13"/>
      <c r="K2" s="13"/>
      <c r="L2" s="13"/>
      <c r="M2" s="13"/>
      <c r="N2" s="13"/>
      <c r="O2" s="13"/>
      <c r="P2" s="13"/>
      <c r="Q2" s="13"/>
      <c r="R2" s="13"/>
      <c r="S2" s="13"/>
      <c r="T2" s="13"/>
      <c r="U2" s="13"/>
    </row>
    <row r="4" spans="1:21" ht="24" customHeight="1">
      <c r="A4" s="1" t="s">
        <v>2</v>
      </c>
      <c r="B4" s="1" t="s">
        <v>3</v>
      </c>
    </row>
    <row r="5" spans="1:21" ht="27.95" customHeight="1">
      <c r="A5" s="2" t="s">
        <v>4</v>
      </c>
      <c r="B5" s="2" t="s">
        <v>5</v>
      </c>
    </row>
    <row r="6" spans="1:21" ht="27.95" customHeight="1">
      <c r="A6" s="2" t="s">
        <v>6</v>
      </c>
      <c r="B6" s="2" t="s">
        <v>7</v>
      </c>
    </row>
    <row r="7" spans="1:21" ht="27.95" customHeight="1">
      <c r="A7" s="2" t="s">
        <v>8</v>
      </c>
      <c r="B7" s="2" t="s">
        <v>9</v>
      </c>
    </row>
    <row r="8" spans="1:21" ht="27.95" customHeight="1">
      <c r="A8" s="2" t="s">
        <v>10</v>
      </c>
      <c r="B8" s="2" t="s">
        <v>11</v>
      </c>
    </row>
    <row r="10" spans="1:21" ht="30">
      <c r="A10" s="1" t="s">
        <v>12</v>
      </c>
      <c r="B10" s="1" t="s">
        <v>13</v>
      </c>
      <c r="C10" s="1" t="s">
        <v>14</v>
      </c>
      <c r="D10" s="1" t="s">
        <v>6</v>
      </c>
      <c r="E10" s="1" t="s">
        <v>15</v>
      </c>
      <c r="F10" s="1" t="s">
        <v>16</v>
      </c>
      <c r="G10" s="1" t="s">
        <v>17</v>
      </c>
      <c r="H10" s="1" t="s">
        <v>18</v>
      </c>
      <c r="I10" s="1" t="s">
        <v>19</v>
      </c>
      <c r="J10" s="14" t="s">
        <v>400</v>
      </c>
      <c r="K10" s="14"/>
      <c r="L10" s="14"/>
      <c r="M10" s="14"/>
      <c r="N10" s="14" t="s">
        <v>399</v>
      </c>
      <c r="O10" s="14"/>
      <c r="P10" s="14"/>
      <c r="Q10" s="14"/>
      <c r="R10" s="14" t="s">
        <v>401</v>
      </c>
      <c r="S10" s="14"/>
      <c r="T10" s="14"/>
      <c r="U10" s="14"/>
    </row>
    <row r="11" spans="1:21" ht="25.5">
      <c r="A11" s="3"/>
      <c r="B11" s="3"/>
      <c r="C11" s="3"/>
      <c r="D11" s="3"/>
      <c r="E11" s="3"/>
      <c r="F11" s="3"/>
      <c r="G11" s="3"/>
      <c r="H11" s="3"/>
      <c r="I11" s="3"/>
      <c r="J11" s="3" t="s">
        <v>402</v>
      </c>
      <c r="K11" s="3" t="s">
        <v>403</v>
      </c>
      <c r="L11" s="3" t="s">
        <v>404</v>
      </c>
      <c r="M11" s="3" t="s">
        <v>405</v>
      </c>
      <c r="N11" s="3" t="s">
        <v>406</v>
      </c>
      <c r="O11" s="3" t="s">
        <v>407</v>
      </c>
      <c r="P11" s="3" t="s">
        <v>408</v>
      </c>
      <c r="Q11" s="3" t="s">
        <v>409</v>
      </c>
      <c r="R11" s="3" t="s">
        <v>410</v>
      </c>
      <c r="S11" s="3" t="s">
        <v>411</v>
      </c>
      <c r="T11" s="3" t="s">
        <v>412</v>
      </c>
      <c r="U11" s="3" t="s">
        <v>413</v>
      </c>
    </row>
    <row r="12" spans="1:21" ht="42" customHeight="1">
      <c r="A12" s="2">
        <v>1</v>
      </c>
      <c r="B12" s="2" t="s">
        <v>20</v>
      </c>
      <c r="C12" s="2" t="s">
        <v>21</v>
      </c>
      <c r="D12" s="2" t="s">
        <v>22</v>
      </c>
      <c r="E12" s="2" t="s">
        <v>23</v>
      </c>
      <c r="F12" s="2" t="s">
        <v>24</v>
      </c>
      <c r="G12" s="2" t="s">
        <v>25</v>
      </c>
      <c r="H12" s="2" t="s">
        <v>26</v>
      </c>
      <c r="I12" s="2" t="s">
        <v>27</v>
      </c>
      <c r="J12" s="5"/>
      <c r="K12" s="4"/>
      <c r="L12" s="4"/>
      <c r="M12" s="4"/>
      <c r="N12" s="4"/>
      <c r="O12" s="4"/>
      <c r="P12" s="4"/>
      <c r="Q12" s="4"/>
      <c r="R12" s="4"/>
      <c r="S12" s="4"/>
      <c r="T12" s="4"/>
      <c r="U12" s="4"/>
    </row>
    <row r="13" spans="1:21" ht="42" customHeight="1">
      <c r="A13" s="2">
        <v>2</v>
      </c>
      <c r="B13" s="2" t="s">
        <v>28</v>
      </c>
      <c r="C13" s="2" t="s">
        <v>29</v>
      </c>
      <c r="D13" s="2" t="s">
        <v>30</v>
      </c>
      <c r="E13" s="2" t="s">
        <v>31</v>
      </c>
      <c r="F13" s="2" t="s">
        <v>32</v>
      </c>
      <c r="G13" s="2" t="s">
        <v>33</v>
      </c>
      <c r="H13" s="2" t="s">
        <v>34</v>
      </c>
      <c r="I13" s="2" t="s">
        <v>35</v>
      </c>
      <c r="J13" s="5"/>
      <c r="K13" s="5"/>
      <c r="L13" s="4"/>
      <c r="M13" s="4"/>
      <c r="N13" s="4"/>
      <c r="O13" s="4"/>
      <c r="P13" s="4"/>
      <c r="Q13" s="4"/>
      <c r="R13" s="4"/>
      <c r="S13" s="4"/>
      <c r="T13" s="4"/>
      <c r="U13" s="4"/>
    </row>
    <row r="14" spans="1:21" ht="42" customHeight="1">
      <c r="A14" s="2">
        <v>3</v>
      </c>
      <c r="B14" s="2" t="s">
        <v>36</v>
      </c>
      <c r="C14" s="2" t="s">
        <v>37</v>
      </c>
      <c r="D14" s="2" t="s">
        <v>38</v>
      </c>
      <c r="E14" s="2" t="s">
        <v>39</v>
      </c>
      <c r="F14" s="2" t="s">
        <v>40</v>
      </c>
      <c r="G14" s="2" t="s">
        <v>41</v>
      </c>
      <c r="H14" s="2" t="s">
        <v>42</v>
      </c>
      <c r="I14" s="2" t="s">
        <v>43</v>
      </c>
      <c r="J14" s="4"/>
      <c r="K14" s="5"/>
      <c r="L14" s="5"/>
      <c r="M14" s="4"/>
      <c r="N14" s="4"/>
      <c r="O14" s="4"/>
      <c r="P14" s="4"/>
      <c r="Q14" s="4"/>
      <c r="R14" s="4"/>
      <c r="S14" s="4"/>
      <c r="T14" s="4"/>
      <c r="U14" s="4"/>
    </row>
    <row r="15" spans="1:21" ht="42" customHeight="1">
      <c r="A15" s="2">
        <v>4</v>
      </c>
      <c r="B15" s="2" t="s">
        <v>44</v>
      </c>
      <c r="C15" s="2" t="s">
        <v>45</v>
      </c>
      <c r="D15" s="2" t="s">
        <v>46</v>
      </c>
      <c r="E15" s="2" t="s">
        <v>47</v>
      </c>
      <c r="F15" s="2" t="s">
        <v>48</v>
      </c>
      <c r="G15" s="2" t="s">
        <v>49</v>
      </c>
      <c r="H15" s="2" t="s">
        <v>42</v>
      </c>
      <c r="I15" s="2" t="s">
        <v>50</v>
      </c>
      <c r="J15" s="4"/>
      <c r="K15" s="5"/>
      <c r="L15" s="5"/>
      <c r="M15" s="4"/>
      <c r="N15" s="4"/>
      <c r="O15" s="4"/>
      <c r="P15" s="4"/>
      <c r="Q15" s="4"/>
      <c r="R15" s="4"/>
      <c r="S15" s="4"/>
      <c r="T15" s="4"/>
      <c r="U15" s="4"/>
    </row>
    <row r="16" spans="1:21" ht="42" customHeight="1">
      <c r="A16" s="2">
        <v>5</v>
      </c>
      <c r="B16" s="2" t="s">
        <v>51</v>
      </c>
      <c r="C16" s="2" t="s">
        <v>52</v>
      </c>
      <c r="D16" s="2" t="s">
        <v>53</v>
      </c>
      <c r="E16" s="2" t="s">
        <v>54</v>
      </c>
      <c r="F16" s="2" t="s">
        <v>55</v>
      </c>
      <c r="G16" s="2" t="s">
        <v>56</v>
      </c>
      <c r="H16" s="2" t="s">
        <v>57</v>
      </c>
      <c r="I16" s="2" t="s">
        <v>58</v>
      </c>
      <c r="J16" s="4"/>
      <c r="K16" s="4"/>
      <c r="L16" s="5"/>
      <c r="M16" s="5"/>
      <c r="N16" s="4"/>
      <c r="O16" s="4"/>
      <c r="P16" s="4"/>
      <c r="Q16" s="4"/>
      <c r="R16" s="4"/>
      <c r="S16" s="4"/>
      <c r="T16" s="4"/>
      <c r="U16" s="4"/>
    </row>
    <row r="17" spans="1:21" ht="42" customHeight="1">
      <c r="A17" s="2">
        <v>6</v>
      </c>
      <c r="B17" s="2" t="s">
        <v>59</v>
      </c>
      <c r="C17" s="2" t="s">
        <v>60</v>
      </c>
      <c r="D17" s="2" t="s">
        <v>61</v>
      </c>
      <c r="E17" s="2" t="s">
        <v>62</v>
      </c>
      <c r="F17" s="2" t="s">
        <v>63</v>
      </c>
      <c r="G17" s="2" t="s">
        <v>64</v>
      </c>
      <c r="H17" s="2" t="s">
        <v>65</v>
      </c>
      <c r="I17" s="2" t="s">
        <v>66</v>
      </c>
      <c r="J17" s="4"/>
      <c r="K17" s="4"/>
      <c r="L17" s="4"/>
      <c r="M17" s="5"/>
      <c r="N17" s="5"/>
      <c r="O17" s="4"/>
      <c r="P17" s="4"/>
      <c r="Q17" s="4"/>
      <c r="R17" s="4"/>
      <c r="S17" s="4"/>
      <c r="T17" s="4"/>
      <c r="U17" s="4"/>
    </row>
    <row r="18" spans="1:21" ht="42" customHeight="1">
      <c r="A18" s="2">
        <v>7</v>
      </c>
      <c r="B18" s="2" t="s">
        <v>67</v>
      </c>
      <c r="C18" s="2" t="s">
        <v>68</v>
      </c>
      <c r="D18" s="2" t="s">
        <v>69</v>
      </c>
      <c r="E18" s="2" t="s">
        <v>70</v>
      </c>
      <c r="F18" s="2" t="s">
        <v>71</v>
      </c>
      <c r="G18" s="2" t="s">
        <v>40</v>
      </c>
      <c r="H18" s="2" t="s">
        <v>72</v>
      </c>
      <c r="I18" s="2" t="s">
        <v>73</v>
      </c>
      <c r="J18" s="4"/>
      <c r="K18" s="4"/>
      <c r="L18" s="4"/>
      <c r="M18" s="4"/>
      <c r="N18" s="5"/>
      <c r="O18" s="5"/>
      <c r="P18" s="4"/>
      <c r="Q18" s="4"/>
      <c r="R18" s="4"/>
      <c r="S18" s="4"/>
      <c r="T18" s="4"/>
      <c r="U18" s="4"/>
    </row>
    <row r="19" spans="1:21" ht="42" customHeight="1">
      <c r="A19" s="2">
        <v>8</v>
      </c>
      <c r="B19" s="2" t="s">
        <v>74</v>
      </c>
      <c r="C19" s="2" t="s">
        <v>68</v>
      </c>
      <c r="D19" s="2" t="s">
        <v>75</v>
      </c>
      <c r="E19" s="2" t="s">
        <v>76</v>
      </c>
      <c r="F19" s="2" t="s">
        <v>71</v>
      </c>
      <c r="G19" s="2" t="s">
        <v>77</v>
      </c>
      <c r="H19" s="2" t="s">
        <v>78</v>
      </c>
      <c r="I19" s="2" t="s">
        <v>79</v>
      </c>
      <c r="J19" s="4"/>
      <c r="K19" s="4"/>
      <c r="L19" s="4"/>
      <c r="M19" s="4"/>
      <c r="N19" s="4"/>
      <c r="O19" s="5"/>
      <c r="P19" s="5"/>
      <c r="Q19" s="4"/>
      <c r="R19" s="4"/>
      <c r="S19" s="4"/>
      <c r="T19" s="4"/>
      <c r="U19" s="4"/>
    </row>
    <row r="20" spans="1:21" ht="42" customHeight="1">
      <c r="A20" s="2">
        <v>9</v>
      </c>
      <c r="B20" s="2" t="s">
        <v>80</v>
      </c>
      <c r="C20" s="2" t="s">
        <v>81</v>
      </c>
      <c r="D20" s="2" t="s">
        <v>82</v>
      </c>
      <c r="E20" s="2" t="s">
        <v>83</v>
      </c>
      <c r="F20" s="2" t="s">
        <v>84</v>
      </c>
      <c r="G20" s="2" t="s">
        <v>85</v>
      </c>
      <c r="H20" s="2" t="s">
        <v>86</v>
      </c>
      <c r="I20" s="2" t="s">
        <v>87</v>
      </c>
      <c r="J20" s="4"/>
      <c r="K20" s="4"/>
      <c r="L20" s="4"/>
      <c r="M20" s="4"/>
      <c r="N20" s="4"/>
      <c r="O20" s="4"/>
      <c r="P20" s="5"/>
      <c r="Q20" s="5"/>
      <c r="R20" s="4"/>
      <c r="S20" s="4"/>
      <c r="T20" s="4"/>
      <c r="U20" s="4"/>
    </row>
    <row r="21" spans="1:21" ht="42" customHeight="1">
      <c r="A21" s="2">
        <v>10</v>
      </c>
      <c r="B21" s="2" t="s">
        <v>88</v>
      </c>
      <c r="C21" s="2" t="s">
        <v>89</v>
      </c>
      <c r="D21" s="2" t="s">
        <v>90</v>
      </c>
      <c r="E21" s="2" t="s">
        <v>91</v>
      </c>
      <c r="F21" s="2" t="s">
        <v>84</v>
      </c>
      <c r="G21" s="2" t="s">
        <v>92</v>
      </c>
      <c r="H21" s="2" t="s">
        <v>86</v>
      </c>
      <c r="I21" s="2" t="s">
        <v>93</v>
      </c>
      <c r="J21" s="4"/>
      <c r="K21" s="4"/>
      <c r="L21" s="4"/>
      <c r="M21" s="4"/>
      <c r="N21" s="4"/>
      <c r="O21" s="4"/>
      <c r="P21" s="4"/>
      <c r="Q21" s="5"/>
      <c r="R21" s="5"/>
      <c r="S21" s="4"/>
      <c r="T21" s="4"/>
      <c r="U21" s="4"/>
    </row>
    <row r="22" spans="1:21" ht="42" customHeight="1">
      <c r="A22" s="2">
        <v>11</v>
      </c>
      <c r="B22" s="2" t="s">
        <v>94</v>
      </c>
      <c r="C22" s="2" t="s">
        <v>95</v>
      </c>
      <c r="D22" s="2" t="s">
        <v>96</v>
      </c>
      <c r="E22" s="2" t="s">
        <v>97</v>
      </c>
      <c r="F22" s="2" t="s">
        <v>98</v>
      </c>
      <c r="G22" s="2" t="s">
        <v>99</v>
      </c>
      <c r="H22" s="2" t="s">
        <v>100</v>
      </c>
      <c r="I22" s="2" t="s">
        <v>101</v>
      </c>
      <c r="J22" s="4"/>
      <c r="K22" s="4"/>
      <c r="L22" s="4"/>
      <c r="M22" s="4"/>
      <c r="N22" s="4"/>
      <c r="O22" s="4"/>
      <c r="P22" s="4"/>
      <c r="Q22" s="4"/>
      <c r="R22" s="5"/>
      <c r="S22" s="5"/>
      <c r="T22" s="4"/>
      <c r="U22" s="4"/>
    </row>
    <row r="23" spans="1:21" ht="42" customHeight="1">
      <c r="A23" s="2">
        <v>12</v>
      </c>
      <c r="B23" s="2" t="s">
        <v>102</v>
      </c>
      <c r="C23" s="2" t="s">
        <v>103</v>
      </c>
      <c r="D23" s="2" t="s">
        <v>104</v>
      </c>
      <c r="E23" s="2" t="s">
        <v>105</v>
      </c>
      <c r="F23" s="2" t="s">
        <v>106</v>
      </c>
      <c r="G23" s="2" t="s">
        <v>107</v>
      </c>
      <c r="H23" s="2" t="s">
        <v>108</v>
      </c>
      <c r="I23" s="2" t="s">
        <v>109</v>
      </c>
      <c r="J23" s="4"/>
      <c r="K23" s="4"/>
      <c r="L23" s="4"/>
      <c r="M23" s="4"/>
      <c r="N23" s="4"/>
      <c r="O23" s="4"/>
      <c r="P23" s="4"/>
      <c r="Q23" s="4"/>
      <c r="R23" s="5"/>
      <c r="S23" s="5"/>
      <c r="T23" s="4"/>
      <c r="U23" s="4"/>
    </row>
    <row r="24" spans="1:21" ht="42" customHeight="1">
      <c r="A24" s="2">
        <v>13</v>
      </c>
      <c r="B24" s="2" t="s">
        <v>110</v>
      </c>
      <c r="C24" s="2" t="s">
        <v>111</v>
      </c>
      <c r="D24" s="2" t="s">
        <v>112</v>
      </c>
      <c r="E24" s="2" t="s">
        <v>113</v>
      </c>
      <c r="F24" s="2" t="s">
        <v>63</v>
      </c>
      <c r="G24" s="2" t="s">
        <v>114</v>
      </c>
      <c r="H24" s="2" t="s">
        <v>108</v>
      </c>
      <c r="I24" s="2" t="s">
        <v>115</v>
      </c>
      <c r="J24" s="4"/>
      <c r="K24" s="4"/>
      <c r="L24" s="4"/>
      <c r="M24" s="4"/>
      <c r="N24" s="4"/>
      <c r="O24" s="4"/>
      <c r="P24" s="4"/>
      <c r="Q24" s="4"/>
      <c r="R24" s="4"/>
      <c r="S24" s="5"/>
      <c r="T24" s="5"/>
      <c r="U24" s="4"/>
    </row>
    <row r="25" spans="1:21" ht="42" customHeight="1">
      <c r="A25" s="2">
        <v>14</v>
      </c>
      <c r="B25" s="2" t="s">
        <v>116</v>
      </c>
      <c r="C25" s="2" t="s">
        <v>117</v>
      </c>
      <c r="D25" s="2" t="s">
        <v>118</v>
      </c>
      <c r="E25" s="2" t="s">
        <v>119</v>
      </c>
      <c r="F25" s="2" t="s">
        <v>77</v>
      </c>
      <c r="G25" s="2" t="s">
        <v>120</v>
      </c>
      <c r="H25" s="2" t="s">
        <v>121</v>
      </c>
      <c r="I25" s="2" t="s">
        <v>122</v>
      </c>
      <c r="J25" s="4"/>
      <c r="K25" s="4"/>
      <c r="L25" s="4"/>
      <c r="M25" s="4"/>
      <c r="N25" s="4"/>
      <c r="O25" s="4"/>
      <c r="P25" s="4"/>
      <c r="Q25" s="4"/>
      <c r="R25" s="4"/>
      <c r="S25" s="4"/>
      <c r="T25" s="5"/>
      <c r="U25" s="5"/>
    </row>
    <row r="26" spans="1:21" ht="42" customHeight="1">
      <c r="A26" s="2">
        <v>15</v>
      </c>
      <c r="B26" s="2" t="s">
        <v>123</v>
      </c>
      <c r="C26" s="2" t="s">
        <v>124</v>
      </c>
      <c r="D26" s="2" t="s">
        <v>125</v>
      </c>
      <c r="E26" s="2" t="s">
        <v>126</v>
      </c>
      <c r="F26" s="2" t="s">
        <v>127</v>
      </c>
      <c r="G26" s="2" t="s">
        <v>128</v>
      </c>
      <c r="H26" s="2" t="s">
        <v>129</v>
      </c>
      <c r="I26" s="2" t="s">
        <v>130</v>
      </c>
      <c r="J26" s="4"/>
      <c r="K26" s="4"/>
      <c r="L26" s="4"/>
      <c r="M26" s="4"/>
      <c r="N26" s="4"/>
      <c r="O26" s="4"/>
      <c r="P26" s="4"/>
      <c r="Q26" s="4"/>
      <c r="R26" s="4"/>
      <c r="S26" s="4"/>
      <c r="T26" s="6"/>
      <c r="U26" s="6"/>
    </row>
  </sheetData>
  <mergeCells count="5">
    <mergeCell ref="A1:U1"/>
    <mergeCell ref="A2:U2"/>
    <mergeCell ref="J10:M10"/>
    <mergeCell ref="N10:Q10"/>
    <mergeCell ref="R10:U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7"/>
  <sheetViews>
    <sheetView workbookViewId="0">
      <selection sqref="A1:K2"/>
    </sheetView>
  </sheetViews>
  <sheetFormatPr defaultRowHeight="14.25"/>
  <cols>
    <col min="1" max="1" width="5" customWidth="1"/>
    <col min="2" max="3" width="18" customWidth="1"/>
    <col min="4" max="4" width="28" customWidth="1"/>
    <col min="5" max="5" width="8" customWidth="1"/>
    <col min="6" max="6" width="10" customWidth="1"/>
    <col min="7" max="7" width="34" customWidth="1"/>
    <col min="8" max="8" width="22" customWidth="1"/>
    <col min="9" max="9" width="14" customWidth="1"/>
    <col min="10" max="10" width="10" customWidth="1"/>
    <col min="11" max="11" width="20" customWidth="1"/>
    <col min="13" max="14" width="14" customWidth="1"/>
  </cols>
  <sheetData>
    <row r="1" spans="1:14" ht="16.5">
      <c r="A1" s="15" t="s">
        <v>131</v>
      </c>
      <c r="B1" s="15"/>
      <c r="C1" s="15"/>
      <c r="D1" s="15"/>
      <c r="E1" s="15"/>
      <c r="F1" s="15"/>
      <c r="G1" s="15"/>
      <c r="H1" s="15"/>
      <c r="I1" s="15"/>
      <c r="J1" s="15"/>
      <c r="K1" s="15"/>
      <c r="M1" s="14" t="s">
        <v>132</v>
      </c>
      <c r="N1" s="14"/>
    </row>
    <row r="2" spans="1:14" ht="25.5">
      <c r="A2" s="7" t="s">
        <v>12</v>
      </c>
      <c r="B2" s="7" t="s">
        <v>133</v>
      </c>
      <c r="C2" s="7" t="s">
        <v>134</v>
      </c>
      <c r="D2" s="7" t="s">
        <v>135</v>
      </c>
      <c r="E2" s="7" t="s">
        <v>136</v>
      </c>
      <c r="F2" s="7" t="s">
        <v>137</v>
      </c>
      <c r="G2" s="7" t="s">
        <v>138</v>
      </c>
      <c r="H2" s="7" t="s">
        <v>139</v>
      </c>
      <c r="I2" s="7" t="s">
        <v>140</v>
      </c>
      <c r="J2" s="7" t="s">
        <v>141</v>
      </c>
      <c r="K2" s="7" t="s">
        <v>142</v>
      </c>
      <c r="M2" s="3" t="s">
        <v>143</v>
      </c>
      <c r="N2" s="3" t="s">
        <v>3</v>
      </c>
    </row>
    <row r="3" spans="1:14" ht="37.5" customHeight="1">
      <c r="A3" s="2">
        <v>1</v>
      </c>
      <c r="B3" s="2" t="s">
        <v>144</v>
      </c>
      <c r="C3" s="2" t="s">
        <v>145</v>
      </c>
      <c r="D3" s="2" t="s">
        <v>146</v>
      </c>
      <c r="E3" s="2" t="s">
        <v>147</v>
      </c>
      <c r="F3" s="2" t="s">
        <v>147</v>
      </c>
      <c r="G3" s="2" t="s">
        <v>148</v>
      </c>
      <c r="H3" s="2" t="s">
        <v>149</v>
      </c>
      <c r="I3" s="5" t="s">
        <v>150</v>
      </c>
      <c r="J3" s="5" t="s">
        <v>151</v>
      </c>
      <c r="K3" s="2"/>
      <c r="M3" s="2" t="s">
        <v>152</v>
      </c>
      <c r="N3" s="2">
        <f>COUNTA(A3:A37)</f>
        <v>35</v>
      </c>
    </row>
    <row r="4" spans="1:14" ht="37.5" customHeight="1">
      <c r="A4" s="2">
        <v>2</v>
      </c>
      <c r="B4" s="2" t="s">
        <v>144</v>
      </c>
      <c r="C4" s="2" t="s">
        <v>153</v>
      </c>
      <c r="D4" s="2" t="s">
        <v>154</v>
      </c>
      <c r="E4" s="2" t="s">
        <v>147</v>
      </c>
      <c r="F4" s="2"/>
      <c r="G4" s="2" t="s">
        <v>155</v>
      </c>
      <c r="H4" s="2" t="s">
        <v>156</v>
      </c>
      <c r="I4" s="5" t="s">
        <v>150</v>
      </c>
      <c r="J4" s="5" t="s">
        <v>151</v>
      </c>
      <c r="K4" s="2"/>
      <c r="M4" s="2" t="s">
        <v>157</v>
      </c>
      <c r="N4" s="2">
        <f>COUNTIF(I3:I37,"MVP")</f>
        <v>29</v>
      </c>
    </row>
    <row r="5" spans="1:14" ht="37.5" customHeight="1">
      <c r="A5" s="2">
        <v>3</v>
      </c>
      <c r="B5" s="2" t="s">
        <v>158</v>
      </c>
      <c r="C5" s="2" t="s">
        <v>159</v>
      </c>
      <c r="D5" s="2" t="s">
        <v>160</v>
      </c>
      <c r="E5" s="2" t="s">
        <v>147</v>
      </c>
      <c r="F5" s="2"/>
      <c r="G5" s="2" t="s">
        <v>161</v>
      </c>
      <c r="H5" s="2" t="s">
        <v>162</v>
      </c>
      <c r="I5" s="5" t="s">
        <v>150</v>
      </c>
      <c r="J5" s="5" t="s">
        <v>151</v>
      </c>
      <c r="K5" s="2"/>
      <c r="M5" s="2" t="s">
        <v>163</v>
      </c>
      <c r="N5" s="2">
        <f>COUNTIF(I3:I37,"Should")</f>
        <v>5</v>
      </c>
    </row>
    <row r="6" spans="1:14" ht="37.5" customHeight="1">
      <c r="A6" s="2">
        <v>4</v>
      </c>
      <c r="B6" s="2" t="s">
        <v>158</v>
      </c>
      <c r="C6" s="2" t="s">
        <v>164</v>
      </c>
      <c r="D6" s="2" t="s">
        <v>165</v>
      </c>
      <c r="E6" s="2" t="s">
        <v>147</v>
      </c>
      <c r="F6" s="2"/>
      <c r="G6" s="2" t="s">
        <v>166</v>
      </c>
      <c r="H6" s="2" t="s">
        <v>167</v>
      </c>
      <c r="I6" s="8" t="s">
        <v>163</v>
      </c>
      <c r="J6" s="8" t="s">
        <v>168</v>
      </c>
      <c r="K6" s="2" t="s">
        <v>169</v>
      </c>
      <c r="M6" s="2" t="s">
        <v>170</v>
      </c>
      <c r="N6" s="2">
        <f>COUNTIF(I3:I37,"Phase 2")</f>
        <v>1</v>
      </c>
    </row>
    <row r="7" spans="1:14" ht="37.5" customHeight="1">
      <c r="A7" s="2">
        <v>5</v>
      </c>
      <c r="B7" s="2" t="s">
        <v>171</v>
      </c>
      <c r="C7" s="2" t="s">
        <v>172</v>
      </c>
      <c r="D7" s="2" t="s">
        <v>173</v>
      </c>
      <c r="E7" s="2" t="s">
        <v>147</v>
      </c>
      <c r="F7" s="2"/>
      <c r="G7" s="2" t="s">
        <v>174</v>
      </c>
      <c r="H7" s="2" t="s">
        <v>175</v>
      </c>
      <c r="I7" s="5" t="s">
        <v>150</v>
      </c>
      <c r="J7" s="5" t="s">
        <v>151</v>
      </c>
      <c r="K7" s="2"/>
      <c r="M7" s="2" t="s">
        <v>151</v>
      </c>
      <c r="N7" s="2">
        <f>COUNTIF(J3:J37,"P0")</f>
        <v>21</v>
      </c>
    </row>
    <row r="8" spans="1:14" ht="37.5" customHeight="1">
      <c r="A8" s="2">
        <v>6</v>
      </c>
      <c r="B8" s="2" t="s">
        <v>171</v>
      </c>
      <c r="C8" s="2" t="s">
        <v>172</v>
      </c>
      <c r="D8" s="2" t="s">
        <v>176</v>
      </c>
      <c r="E8" s="2" t="s">
        <v>147</v>
      </c>
      <c r="F8" s="2"/>
      <c r="G8" s="2" t="s">
        <v>177</v>
      </c>
      <c r="H8" s="2" t="s">
        <v>178</v>
      </c>
      <c r="I8" s="5" t="s">
        <v>150</v>
      </c>
      <c r="J8" s="5" t="s">
        <v>151</v>
      </c>
      <c r="K8" s="2"/>
      <c r="M8" s="2" t="s">
        <v>168</v>
      </c>
      <c r="N8" s="2">
        <f>COUNTIF(J3:J37,"P1")</f>
        <v>10</v>
      </c>
    </row>
    <row r="9" spans="1:14" ht="37.5" customHeight="1">
      <c r="A9" s="2">
        <v>7</v>
      </c>
      <c r="B9" s="2" t="s">
        <v>171</v>
      </c>
      <c r="C9" s="2" t="s">
        <v>172</v>
      </c>
      <c r="D9" s="2" t="s">
        <v>179</v>
      </c>
      <c r="E9" s="2" t="s">
        <v>147</v>
      </c>
      <c r="F9" s="2"/>
      <c r="G9" s="2" t="s">
        <v>180</v>
      </c>
      <c r="H9" s="2" t="s">
        <v>181</v>
      </c>
      <c r="I9" s="5" t="s">
        <v>150</v>
      </c>
      <c r="J9" s="5" t="s">
        <v>151</v>
      </c>
      <c r="K9" s="2"/>
    </row>
    <row r="10" spans="1:14" ht="37.5" customHeight="1">
      <c r="A10" s="2">
        <v>8</v>
      </c>
      <c r="B10" s="2" t="s">
        <v>171</v>
      </c>
      <c r="C10" s="2" t="s">
        <v>172</v>
      </c>
      <c r="D10" s="2" t="s">
        <v>182</v>
      </c>
      <c r="E10" s="2" t="s">
        <v>147</v>
      </c>
      <c r="F10" s="2"/>
      <c r="G10" s="2" t="s">
        <v>183</v>
      </c>
      <c r="H10" s="2" t="s">
        <v>184</v>
      </c>
      <c r="I10" s="5" t="s">
        <v>150</v>
      </c>
      <c r="J10" s="5" t="s">
        <v>151</v>
      </c>
      <c r="K10" s="2"/>
    </row>
    <row r="11" spans="1:14" ht="37.5" customHeight="1">
      <c r="A11" s="2">
        <v>9</v>
      </c>
      <c r="B11" s="2" t="s">
        <v>185</v>
      </c>
      <c r="C11" s="2" t="s">
        <v>186</v>
      </c>
      <c r="D11" s="2" t="s">
        <v>187</v>
      </c>
      <c r="E11" s="2" t="s">
        <v>147</v>
      </c>
      <c r="F11" s="2"/>
      <c r="G11" s="2" t="s">
        <v>188</v>
      </c>
      <c r="H11" s="2" t="s">
        <v>189</v>
      </c>
      <c r="I11" s="5" t="s">
        <v>150</v>
      </c>
      <c r="J11" s="5" t="s">
        <v>151</v>
      </c>
      <c r="K11" s="2"/>
    </row>
    <row r="12" spans="1:14" ht="37.5" customHeight="1">
      <c r="A12" s="2">
        <v>10</v>
      </c>
      <c r="B12" s="2" t="s">
        <v>185</v>
      </c>
      <c r="C12" s="2" t="s">
        <v>186</v>
      </c>
      <c r="D12" s="2" t="s">
        <v>190</v>
      </c>
      <c r="E12" s="2" t="s">
        <v>147</v>
      </c>
      <c r="F12" s="2"/>
      <c r="G12" s="2" t="s">
        <v>191</v>
      </c>
      <c r="H12" s="2" t="s">
        <v>192</v>
      </c>
      <c r="I12" s="5" t="s">
        <v>150</v>
      </c>
      <c r="J12" s="5" t="s">
        <v>151</v>
      </c>
      <c r="K12" s="2"/>
    </row>
    <row r="13" spans="1:14" ht="37.5" customHeight="1">
      <c r="A13" s="2">
        <v>11</v>
      </c>
      <c r="B13" s="2" t="s">
        <v>185</v>
      </c>
      <c r="C13" s="2" t="s">
        <v>193</v>
      </c>
      <c r="D13" s="2" t="s">
        <v>194</v>
      </c>
      <c r="E13" s="2" t="s">
        <v>147</v>
      </c>
      <c r="F13" s="2"/>
      <c r="G13" s="2" t="s">
        <v>195</v>
      </c>
      <c r="H13" s="2" t="s">
        <v>196</v>
      </c>
      <c r="I13" s="5" t="s">
        <v>150</v>
      </c>
      <c r="J13" s="8" t="s">
        <v>168</v>
      </c>
      <c r="K13" s="2"/>
    </row>
    <row r="14" spans="1:14" ht="37.5" customHeight="1">
      <c r="A14" s="2">
        <v>12</v>
      </c>
      <c r="B14" s="2" t="s">
        <v>197</v>
      </c>
      <c r="C14" s="2" t="s">
        <v>198</v>
      </c>
      <c r="D14" s="2" t="s">
        <v>199</v>
      </c>
      <c r="E14" s="2" t="s">
        <v>147</v>
      </c>
      <c r="F14" s="2"/>
      <c r="G14" s="2" t="s">
        <v>200</v>
      </c>
      <c r="H14" s="2" t="s">
        <v>201</v>
      </c>
      <c r="I14" s="5" t="s">
        <v>150</v>
      </c>
      <c r="J14" s="5" t="s">
        <v>151</v>
      </c>
      <c r="K14" s="2"/>
    </row>
    <row r="15" spans="1:14" ht="37.5" customHeight="1">
      <c r="A15" s="2">
        <v>13</v>
      </c>
      <c r="B15" s="2" t="s">
        <v>197</v>
      </c>
      <c r="C15" s="2" t="s">
        <v>198</v>
      </c>
      <c r="D15" s="2" t="s">
        <v>202</v>
      </c>
      <c r="E15" s="2" t="s">
        <v>147</v>
      </c>
      <c r="F15" s="2"/>
      <c r="G15" s="2" t="s">
        <v>203</v>
      </c>
      <c r="H15" s="2" t="s">
        <v>204</v>
      </c>
      <c r="I15" s="5" t="s">
        <v>150</v>
      </c>
      <c r="J15" s="5" t="s">
        <v>151</v>
      </c>
      <c r="K15" s="2"/>
    </row>
    <row r="16" spans="1:14" ht="37.5" customHeight="1">
      <c r="A16" s="2">
        <v>14</v>
      </c>
      <c r="B16" s="2" t="s">
        <v>197</v>
      </c>
      <c r="C16" s="2" t="s">
        <v>205</v>
      </c>
      <c r="D16" s="2" t="s">
        <v>206</v>
      </c>
      <c r="E16" s="2" t="s">
        <v>147</v>
      </c>
      <c r="F16" s="2"/>
      <c r="G16" s="2" t="s">
        <v>207</v>
      </c>
      <c r="H16" s="2" t="s">
        <v>208</v>
      </c>
      <c r="I16" s="5" t="s">
        <v>150</v>
      </c>
      <c r="J16" s="5" t="s">
        <v>151</v>
      </c>
      <c r="K16" s="2"/>
    </row>
    <row r="17" spans="1:11" ht="37.5" customHeight="1">
      <c r="A17" s="2">
        <v>15</v>
      </c>
      <c r="B17" s="2" t="s">
        <v>197</v>
      </c>
      <c r="C17" s="2" t="s">
        <v>205</v>
      </c>
      <c r="D17" s="2" t="s">
        <v>209</v>
      </c>
      <c r="E17" s="2" t="s">
        <v>147</v>
      </c>
      <c r="F17" s="2"/>
      <c r="G17" s="2" t="s">
        <v>210</v>
      </c>
      <c r="H17" s="2" t="s">
        <v>211</v>
      </c>
      <c r="I17" s="5" t="s">
        <v>150</v>
      </c>
      <c r="J17" s="8" t="s">
        <v>168</v>
      </c>
      <c r="K17" s="2"/>
    </row>
    <row r="18" spans="1:11" ht="37.5" customHeight="1">
      <c r="A18" s="2">
        <v>16</v>
      </c>
      <c r="B18" s="2" t="s">
        <v>212</v>
      </c>
      <c r="C18" s="2" t="s">
        <v>213</v>
      </c>
      <c r="D18" s="2" t="s">
        <v>214</v>
      </c>
      <c r="E18" s="2" t="s">
        <v>147</v>
      </c>
      <c r="F18" s="2"/>
      <c r="G18" s="2" t="s">
        <v>215</v>
      </c>
      <c r="H18" s="2" t="s">
        <v>216</v>
      </c>
      <c r="I18" s="5" t="s">
        <v>150</v>
      </c>
      <c r="J18" s="5" t="s">
        <v>151</v>
      </c>
      <c r="K18" s="2"/>
    </row>
    <row r="19" spans="1:11" ht="37.5" customHeight="1">
      <c r="A19" s="2">
        <v>17</v>
      </c>
      <c r="B19" s="2" t="s">
        <v>212</v>
      </c>
      <c r="C19" s="2" t="s">
        <v>217</v>
      </c>
      <c r="D19" s="2" t="s">
        <v>218</v>
      </c>
      <c r="E19" s="2" t="s">
        <v>147</v>
      </c>
      <c r="F19" s="2"/>
      <c r="G19" s="2" t="s">
        <v>219</v>
      </c>
      <c r="H19" s="2" t="s">
        <v>220</v>
      </c>
      <c r="I19" s="5" t="s">
        <v>150</v>
      </c>
      <c r="J19" s="5" t="s">
        <v>151</v>
      </c>
      <c r="K19" s="2"/>
    </row>
    <row r="20" spans="1:11" ht="37.5" customHeight="1">
      <c r="A20" s="2">
        <v>18</v>
      </c>
      <c r="B20" s="2" t="s">
        <v>212</v>
      </c>
      <c r="C20" s="2" t="s">
        <v>221</v>
      </c>
      <c r="D20" s="2" t="s">
        <v>222</v>
      </c>
      <c r="E20" s="2" t="s">
        <v>147</v>
      </c>
      <c r="F20" s="2"/>
      <c r="G20" s="2" t="s">
        <v>223</v>
      </c>
      <c r="H20" s="2" t="s">
        <v>224</v>
      </c>
      <c r="I20" s="5" t="s">
        <v>150</v>
      </c>
      <c r="J20" s="5" t="s">
        <v>151</v>
      </c>
      <c r="K20" s="2"/>
    </row>
    <row r="21" spans="1:11" ht="37.5" customHeight="1">
      <c r="A21" s="2">
        <v>19</v>
      </c>
      <c r="B21" s="2" t="s">
        <v>212</v>
      </c>
      <c r="C21" s="2" t="s">
        <v>225</v>
      </c>
      <c r="D21" s="2" t="s">
        <v>226</v>
      </c>
      <c r="E21" s="2" t="s">
        <v>147</v>
      </c>
      <c r="F21" s="2"/>
      <c r="G21" s="2" t="s">
        <v>227</v>
      </c>
      <c r="H21" s="2" t="s">
        <v>228</v>
      </c>
      <c r="I21" s="8" t="s">
        <v>163</v>
      </c>
      <c r="J21" s="8" t="s">
        <v>168</v>
      </c>
      <c r="K21" s="2"/>
    </row>
    <row r="22" spans="1:11" ht="37.5" customHeight="1">
      <c r="A22" s="2">
        <v>20</v>
      </c>
      <c r="B22" s="2" t="s">
        <v>229</v>
      </c>
      <c r="C22" s="2" t="s">
        <v>230</v>
      </c>
      <c r="D22" s="2" t="s">
        <v>231</v>
      </c>
      <c r="E22" s="2" t="s">
        <v>147</v>
      </c>
      <c r="F22" s="2" t="s">
        <v>147</v>
      </c>
      <c r="G22" s="2" t="s">
        <v>232</v>
      </c>
      <c r="H22" s="2" t="s">
        <v>233</v>
      </c>
      <c r="I22" s="5" t="s">
        <v>150</v>
      </c>
      <c r="J22" s="5" t="s">
        <v>151</v>
      </c>
      <c r="K22" s="2"/>
    </row>
    <row r="23" spans="1:11" ht="37.5" customHeight="1">
      <c r="A23" s="2">
        <v>21</v>
      </c>
      <c r="B23" s="2" t="s">
        <v>229</v>
      </c>
      <c r="C23" s="2" t="s">
        <v>230</v>
      </c>
      <c r="D23" s="2" t="s">
        <v>234</v>
      </c>
      <c r="E23" s="2" t="s">
        <v>147</v>
      </c>
      <c r="F23" s="2" t="s">
        <v>147</v>
      </c>
      <c r="G23" s="2" t="s">
        <v>235</v>
      </c>
      <c r="H23" s="2" t="s">
        <v>236</v>
      </c>
      <c r="I23" s="5" t="s">
        <v>150</v>
      </c>
      <c r="J23" s="5" t="s">
        <v>151</v>
      </c>
      <c r="K23" s="2"/>
    </row>
    <row r="24" spans="1:11" ht="37.5" customHeight="1">
      <c r="A24" s="2">
        <v>22</v>
      </c>
      <c r="B24" s="2" t="s">
        <v>237</v>
      </c>
      <c r="C24" s="2" t="s">
        <v>238</v>
      </c>
      <c r="D24" s="2" t="s">
        <v>239</v>
      </c>
      <c r="E24" s="2" t="s">
        <v>147</v>
      </c>
      <c r="F24" s="2" t="s">
        <v>147</v>
      </c>
      <c r="G24" s="2" t="s">
        <v>240</v>
      </c>
      <c r="H24" s="2" t="s">
        <v>241</v>
      </c>
      <c r="I24" s="5" t="s">
        <v>150</v>
      </c>
      <c r="J24" s="8" t="s">
        <v>168</v>
      </c>
      <c r="K24" s="2"/>
    </row>
    <row r="25" spans="1:11" ht="37.5" customHeight="1">
      <c r="A25" s="2">
        <v>23</v>
      </c>
      <c r="B25" s="2" t="s">
        <v>237</v>
      </c>
      <c r="C25" s="2" t="s">
        <v>238</v>
      </c>
      <c r="D25" s="2" t="s">
        <v>242</v>
      </c>
      <c r="E25" s="2" t="s">
        <v>147</v>
      </c>
      <c r="F25" s="2" t="s">
        <v>147</v>
      </c>
      <c r="G25" s="2" t="s">
        <v>243</v>
      </c>
      <c r="H25" s="2" t="s">
        <v>244</v>
      </c>
      <c r="I25" s="5" t="s">
        <v>150</v>
      </c>
      <c r="J25" s="8" t="s">
        <v>168</v>
      </c>
      <c r="K25" s="2"/>
    </row>
    <row r="26" spans="1:11" ht="37.5" customHeight="1">
      <c r="A26" s="2">
        <v>24</v>
      </c>
      <c r="B26" s="2" t="s">
        <v>237</v>
      </c>
      <c r="C26" s="2" t="s">
        <v>245</v>
      </c>
      <c r="D26" s="2" t="s">
        <v>246</v>
      </c>
      <c r="E26" s="2" t="s">
        <v>147</v>
      </c>
      <c r="F26" s="2" t="s">
        <v>147</v>
      </c>
      <c r="G26" s="2" t="s">
        <v>247</v>
      </c>
      <c r="H26" s="2" t="s">
        <v>248</v>
      </c>
      <c r="I26" s="5" t="s">
        <v>150</v>
      </c>
      <c r="J26" s="5" t="s">
        <v>151</v>
      </c>
      <c r="K26" s="2"/>
    </row>
    <row r="27" spans="1:11" ht="37.5" customHeight="1">
      <c r="A27" s="2">
        <v>25</v>
      </c>
      <c r="B27" s="2" t="s">
        <v>237</v>
      </c>
      <c r="C27" s="2" t="s">
        <v>249</v>
      </c>
      <c r="D27" s="2" t="s">
        <v>250</v>
      </c>
      <c r="E27" s="2" t="s">
        <v>147</v>
      </c>
      <c r="F27" s="2" t="s">
        <v>147</v>
      </c>
      <c r="G27" s="2" t="s">
        <v>251</v>
      </c>
      <c r="H27" s="2" t="s">
        <v>252</v>
      </c>
      <c r="I27" s="5" t="s">
        <v>150</v>
      </c>
      <c r="J27" s="5" t="s">
        <v>151</v>
      </c>
      <c r="K27" s="2"/>
    </row>
    <row r="28" spans="1:11" ht="37.5" customHeight="1">
      <c r="A28" s="2">
        <v>26</v>
      </c>
      <c r="B28" s="2" t="s">
        <v>237</v>
      </c>
      <c r="C28" s="2" t="s">
        <v>253</v>
      </c>
      <c r="D28" s="2" t="s">
        <v>254</v>
      </c>
      <c r="E28" s="2" t="s">
        <v>147</v>
      </c>
      <c r="F28" s="2" t="s">
        <v>147</v>
      </c>
      <c r="G28" s="2" t="s">
        <v>255</v>
      </c>
      <c r="H28" s="2" t="s">
        <v>256</v>
      </c>
      <c r="I28" s="8" t="s">
        <v>163</v>
      </c>
      <c r="J28" s="9" t="s">
        <v>257</v>
      </c>
      <c r="K28" s="2"/>
    </row>
    <row r="29" spans="1:11" ht="37.5" customHeight="1">
      <c r="A29" s="2">
        <v>27</v>
      </c>
      <c r="B29" s="2" t="s">
        <v>237</v>
      </c>
      <c r="C29" s="2" t="s">
        <v>253</v>
      </c>
      <c r="D29" s="2" t="s">
        <v>258</v>
      </c>
      <c r="E29" s="2" t="s">
        <v>147</v>
      </c>
      <c r="F29" s="2" t="s">
        <v>147</v>
      </c>
      <c r="G29" s="2" t="s">
        <v>259</v>
      </c>
      <c r="H29" s="2" t="s">
        <v>260</v>
      </c>
      <c r="I29" s="8" t="s">
        <v>163</v>
      </c>
      <c r="J29" s="9" t="s">
        <v>257</v>
      </c>
      <c r="K29" s="2"/>
    </row>
    <row r="30" spans="1:11" ht="37.5" customHeight="1">
      <c r="A30" s="2">
        <v>28</v>
      </c>
      <c r="B30" s="2" t="s">
        <v>103</v>
      </c>
      <c r="C30" s="2" t="s">
        <v>261</v>
      </c>
      <c r="D30" s="2" t="s">
        <v>262</v>
      </c>
      <c r="E30" s="2" t="s">
        <v>147</v>
      </c>
      <c r="F30" s="2" t="s">
        <v>147</v>
      </c>
      <c r="G30" s="2" t="s">
        <v>263</v>
      </c>
      <c r="H30" s="2" t="s">
        <v>264</v>
      </c>
      <c r="I30" s="5" t="s">
        <v>150</v>
      </c>
      <c r="J30" s="5" t="s">
        <v>151</v>
      </c>
      <c r="K30" s="2"/>
    </row>
    <row r="31" spans="1:11" ht="37.5" customHeight="1">
      <c r="A31" s="2">
        <v>29</v>
      </c>
      <c r="B31" s="2" t="s">
        <v>103</v>
      </c>
      <c r="C31" s="2" t="s">
        <v>265</v>
      </c>
      <c r="D31" s="2" t="s">
        <v>266</v>
      </c>
      <c r="E31" s="2" t="s">
        <v>147</v>
      </c>
      <c r="F31" s="2" t="s">
        <v>147</v>
      </c>
      <c r="G31" s="2" t="s">
        <v>267</v>
      </c>
      <c r="H31" s="2" t="s">
        <v>268</v>
      </c>
      <c r="I31" s="5" t="s">
        <v>150</v>
      </c>
      <c r="J31" s="5" t="s">
        <v>151</v>
      </c>
      <c r="K31" s="2"/>
    </row>
    <row r="32" spans="1:11" ht="37.5" customHeight="1">
      <c r="A32" s="2">
        <v>30</v>
      </c>
      <c r="B32" s="2" t="s">
        <v>103</v>
      </c>
      <c r="C32" s="2" t="s">
        <v>269</v>
      </c>
      <c r="D32" s="2" t="s">
        <v>270</v>
      </c>
      <c r="E32" s="2" t="s">
        <v>147</v>
      </c>
      <c r="F32" s="2"/>
      <c r="G32" s="2" t="s">
        <v>271</v>
      </c>
      <c r="H32" s="2" t="s">
        <v>272</v>
      </c>
      <c r="I32" s="5" t="s">
        <v>150</v>
      </c>
      <c r="J32" s="8" t="s">
        <v>168</v>
      </c>
      <c r="K32" s="2"/>
    </row>
    <row r="33" spans="1:11" ht="37.5" customHeight="1">
      <c r="A33" s="2">
        <v>31</v>
      </c>
      <c r="B33" s="2" t="s">
        <v>273</v>
      </c>
      <c r="C33" s="2" t="s">
        <v>274</v>
      </c>
      <c r="D33" s="2" t="s">
        <v>275</v>
      </c>
      <c r="E33" s="2" t="s">
        <v>147</v>
      </c>
      <c r="F33" s="2" t="s">
        <v>147</v>
      </c>
      <c r="G33" s="2" t="s">
        <v>276</v>
      </c>
      <c r="H33" s="2" t="s">
        <v>277</v>
      </c>
      <c r="I33" s="5" t="s">
        <v>150</v>
      </c>
      <c r="J33" s="8" t="s">
        <v>168</v>
      </c>
      <c r="K33" s="2"/>
    </row>
    <row r="34" spans="1:11" ht="37.5" customHeight="1">
      <c r="A34" s="2">
        <v>32</v>
      </c>
      <c r="B34" s="2" t="s">
        <v>278</v>
      </c>
      <c r="C34" s="2" t="s">
        <v>279</v>
      </c>
      <c r="D34" s="2" t="s">
        <v>280</v>
      </c>
      <c r="E34" s="2" t="s">
        <v>147</v>
      </c>
      <c r="F34" s="2"/>
      <c r="G34" s="2" t="s">
        <v>281</v>
      </c>
      <c r="H34" s="2" t="s">
        <v>282</v>
      </c>
      <c r="I34" s="5" t="s">
        <v>150</v>
      </c>
      <c r="J34" s="8" t="s">
        <v>168</v>
      </c>
      <c r="K34" s="2"/>
    </row>
    <row r="35" spans="1:11" ht="37.5" customHeight="1">
      <c r="A35" s="2">
        <v>33</v>
      </c>
      <c r="B35" s="2" t="s">
        <v>278</v>
      </c>
      <c r="C35" s="2" t="s">
        <v>283</v>
      </c>
      <c r="D35" s="2" t="s">
        <v>284</v>
      </c>
      <c r="E35" s="2" t="s">
        <v>147</v>
      </c>
      <c r="F35" s="2"/>
      <c r="G35" s="2" t="s">
        <v>285</v>
      </c>
      <c r="H35" s="2" t="s">
        <v>286</v>
      </c>
      <c r="I35" s="5" t="s">
        <v>150</v>
      </c>
      <c r="J35" s="8" t="s">
        <v>168</v>
      </c>
      <c r="K35" s="2"/>
    </row>
    <row r="36" spans="1:11" ht="37.5" customHeight="1">
      <c r="A36" s="2">
        <v>34</v>
      </c>
      <c r="B36" s="2" t="s">
        <v>287</v>
      </c>
      <c r="C36" s="2" t="s">
        <v>288</v>
      </c>
      <c r="D36" s="2" t="s">
        <v>289</v>
      </c>
      <c r="E36" s="2" t="s">
        <v>147</v>
      </c>
      <c r="F36" s="2" t="s">
        <v>147</v>
      </c>
      <c r="G36" s="2" t="s">
        <v>290</v>
      </c>
      <c r="H36" s="2" t="s">
        <v>291</v>
      </c>
      <c r="I36" s="8" t="s">
        <v>163</v>
      </c>
      <c r="J36" s="9" t="s">
        <v>257</v>
      </c>
      <c r="K36" s="2"/>
    </row>
    <row r="37" spans="1:11" ht="37.5" customHeight="1">
      <c r="A37" s="2">
        <v>35</v>
      </c>
      <c r="B37" s="2" t="s">
        <v>292</v>
      </c>
      <c r="C37" s="2" t="s">
        <v>293</v>
      </c>
      <c r="D37" s="2" t="s">
        <v>294</v>
      </c>
      <c r="E37" s="2" t="s">
        <v>147</v>
      </c>
      <c r="F37" s="2" t="s">
        <v>147</v>
      </c>
      <c r="G37" s="2" t="s">
        <v>295</v>
      </c>
      <c r="H37" s="2" t="s">
        <v>296</v>
      </c>
      <c r="I37" s="9" t="s">
        <v>170</v>
      </c>
      <c r="J37" s="9" t="s">
        <v>297</v>
      </c>
      <c r="K37" s="2" t="s">
        <v>298</v>
      </c>
    </row>
  </sheetData>
  <mergeCells count="2">
    <mergeCell ref="A1:K1"/>
    <mergeCell ref="M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0"/>
  <sheetViews>
    <sheetView tabSelected="1" workbookViewId="0">
      <selection sqref="A1:J1"/>
    </sheetView>
  </sheetViews>
  <sheetFormatPr defaultRowHeight="14.25"/>
  <cols>
    <col min="1" max="1" width="22" customWidth="1"/>
    <col min="2" max="2" width="10" customWidth="1"/>
    <col min="3" max="3" width="20" customWidth="1"/>
    <col min="4" max="4" width="34" customWidth="1"/>
    <col min="5" max="5" width="20" customWidth="1"/>
    <col min="6" max="6" width="12" customWidth="1"/>
    <col min="7" max="7" width="8" customWidth="1"/>
    <col min="8" max="8" width="16" customWidth="1"/>
    <col min="9" max="9" width="12" customWidth="1"/>
    <col min="10" max="10" width="18" customWidth="1"/>
  </cols>
  <sheetData>
    <row r="1" spans="1:10" ht="16.5">
      <c r="A1" s="15" t="s">
        <v>299</v>
      </c>
      <c r="B1" s="15"/>
      <c r="C1" s="15"/>
      <c r="D1" s="15"/>
      <c r="E1" s="15"/>
      <c r="F1" s="15"/>
      <c r="G1" s="15"/>
      <c r="H1" s="15"/>
      <c r="I1" s="15"/>
      <c r="J1" s="15"/>
    </row>
    <row r="2" spans="1:10" ht="25.5">
      <c r="A2" s="7" t="s">
        <v>300</v>
      </c>
      <c r="B2" s="7" t="s">
        <v>301</v>
      </c>
      <c r="C2" s="7" t="s">
        <v>302</v>
      </c>
      <c r="D2" s="7" t="s">
        <v>303</v>
      </c>
      <c r="E2" s="7" t="s">
        <v>304</v>
      </c>
      <c r="F2" s="7" t="s">
        <v>16</v>
      </c>
      <c r="G2" s="7" t="s">
        <v>141</v>
      </c>
      <c r="H2" s="7" t="s">
        <v>305</v>
      </c>
      <c r="I2" s="7" t="s">
        <v>306</v>
      </c>
      <c r="J2" s="7" t="s">
        <v>142</v>
      </c>
    </row>
    <row r="3" spans="1:10" ht="24" customHeight="1">
      <c r="A3" s="10" t="s">
        <v>307</v>
      </c>
      <c r="B3" s="10" t="s">
        <v>308</v>
      </c>
      <c r="C3" s="10" t="s">
        <v>309</v>
      </c>
      <c r="D3" s="10" t="s">
        <v>310</v>
      </c>
      <c r="E3" s="10" t="s">
        <v>311</v>
      </c>
      <c r="F3" s="10" t="s">
        <v>63</v>
      </c>
      <c r="G3" s="11" t="s">
        <v>151</v>
      </c>
      <c r="H3" s="10" t="s">
        <v>312</v>
      </c>
      <c r="I3" s="10" t="s">
        <v>313</v>
      </c>
      <c r="J3" s="10"/>
    </row>
    <row r="4" spans="1:10" ht="24" customHeight="1">
      <c r="A4" s="2" t="s">
        <v>307</v>
      </c>
      <c r="B4" s="2" t="s">
        <v>314</v>
      </c>
      <c r="C4" s="2" t="s">
        <v>315</v>
      </c>
      <c r="D4" s="2" t="s">
        <v>316</v>
      </c>
      <c r="E4" s="2" t="s">
        <v>317</v>
      </c>
      <c r="F4" s="2" t="s">
        <v>63</v>
      </c>
      <c r="G4" s="5" t="s">
        <v>151</v>
      </c>
      <c r="H4" s="2" t="s">
        <v>318</v>
      </c>
      <c r="I4" s="2" t="s">
        <v>319</v>
      </c>
      <c r="J4" s="2"/>
    </row>
    <row r="5" spans="1:10" ht="24" customHeight="1">
      <c r="A5" s="2" t="s">
        <v>307</v>
      </c>
      <c r="B5" s="2" t="s">
        <v>320</v>
      </c>
      <c r="C5" s="2" t="s">
        <v>270</v>
      </c>
      <c r="D5" s="2" t="s">
        <v>321</v>
      </c>
      <c r="E5" s="2" t="s">
        <v>322</v>
      </c>
      <c r="F5" s="2" t="s">
        <v>63</v>
      </c>
      <c r="G5" s="8" t="s">
        <v>168</v>
      </c>
      <c r="H5" s="2" t="s">
        <v>323</v>
      </c>
      <c r="I5" s="2" t="s">
        <v>324</v>
      </c>
      <c r="J5" s="2"/>
    </row>
    <row r="6" spans="1:10" ht="24" customHeight="1">
      <c r="A6" s="10" t="s">
        <v>325</v>
      </c>
      <c r="B6" s="10" t="s">
        <v>326</v>
      </c>
      <c r="C6" s="10" t="s">
        <v>173</v>
      </c>
      <c r="D6" s="10" t="s">
        <v>327</v>
      </c>
      <c r="E6" s="10" t="s">
        <v>328</v>
      </c>
      <c r="F6" s="10" t="s">
        <v>71</v>
      </c>
      <c r="G6" s="11" t="s">
        <v>151</v>
      </c>
      <c r="H6" s="10" t="s">
        <v>315</v>
      </c>
      <c r="I6" s="10" t="s">
        <v>329</v>
      </c>
      <c r="J6" s="10"/>
    </row>
    <row r="7" spans="1:10" ht="24" customHeight="1">
      <c r="A7" s="2" t="s">
        <v>325</v>
      </c>
      <c r="B7" s="2" t="s">
        <v>330</v>
      </c>
      <c r="C7" s="2" t="s">
        <v>331</v>
      </c>
      <c r="D7" s="2" t="s">
        <v>332</v>
      </c>
      <c r="E7" s="2" t="s">
        <v>333</v>
      </c>
      <c r="F7" s="2" t="s">
        <v>71</v>
      </c>
      <c r="G7" s="5" t="s">
        <v>151</v>
      </c>
      <c r="H7" s="2" t="s">
        <v>315</v>
      </c>
      <c r="I7" s="2" t="s">
        <v>329</v>
      </c>
      <c r="J7" s="2"/>
    </row>
    <row r="8" spans="1:10" ht="24" customHeight="1">
      <c r="A8" s="2" t="s">
        <v>325</v>
      </c>
      <c r="B8" s="2" t="s">
        <v>334</v>
      </c>
      <c r="C8" s="2" t="s">
        <v>179</v>
      </c>
      <c r="D8" s="2" t="s">
        <v>335</v>
      </c>
      <c r="E8" s="2" t="s">
        <v>336</v>
      </c>
      <c r="F8" s="2" t="s">
        <v>71</v>
      </c>
      <c r="G8" s="5" t="s">
        <v>151</v>
      </c>
      <c r="H8" s="2" t="s">
        <v>315</v>
      </c>
      <c r="I8" s="2" t="s">
        <v>337</v>
      </c>
      <c r="J8" s="2"/>
    </row>
    <row r="9" spans="1:10" ht="24" customHeight="1">
      <c r="A9" s="2" t="s">
        <v>325</v>
      </c>
      <c r="B9" s="2" t="s">
        <v>338</v>
      </c>
      <c r="C9" s="2" t="s">
        <v>339</v>
      </c>
      <c r="D9" s="2" t="s">
        <v>340</v>
      </c>
      <c r="E9" s="2" t="s">
        <v>341</v>
      </c>
      <c r="F9" s="2" t="s">
        <v>71</v>
      </c>
      <c r="G9" s="5" t="s">
        <v>151</v>
      </c>
      <c r="H9" s="2" t="s">
        <v>315</v>
      </c>
      <c r="I9" s="2" t="s">
        <v>337</v>
      </c>
      <c r="J9" s="2"/>
    </row>
    <row r="10" spans="1:10" ht="24" customHeight="1">
      <c r="A10" s="2" t="s">
        <v>325</v>
      </c>
      <c r="B10" s="2" t="s">
        <v>342</v>
      </c>
      <c r="C10" s="2" t="s">
        <v>74</v>
      </c>
      <c r="D10" s="2" t="s">
        <v>343</v>
      </c>
      <c r="E10" s="2" t="s">
        <v>344</v>
      </c>
      <c r="F10" s="2" t="s">
        <v>71</v>
      </c>
      <c r="G10" s="5" t="s">
        <v>151</v>
      </c>
      <c r="H10" s="2" t="s">
        <v>345</v>
      </c>
      <c r="I10" s="2" t="s">
        <v>346</v>
      </c>
      <c r="J10" s="2"/>
    </row>
    <row r="11" spans="1:10" ht="24" customHeight="1">
      <c r="A11" s="10" t="s">
        <v>347</v>
      </c>
      <c r="B11" s="10" t="s">
        <v>348</v>
      </c>
      <c r="C11" s="10" t="s">
        <v>349</v>
      </c>
      <c r="D11" s="10" t="s">
        <v>350</v>
      </c>
      <c r="E11" s="10" t="s">
        <v>351</v>
      </c>
      <c r="F11" s="10" t="s">
        <v>84</v>
      </c>
      <c r="G11" s="11" t="s">
        <v>151</v>
      </c>
      <c r="H11" s="10" t="s">
        <v>344</v>
      </c>
      <c r="I11" s="10" t="s">
        <v>352</v>
      </c>
      <c r="J11" s="10"/>
    </row>
    <row r="12" spans="1:10" ht="24" customHeight="1">
      <c r="A12" s="2" t="s">
        <v>347</v>
      </c>
      <c r="B12" s="2" t="s">
        <v>353</v>
      </c>
      <c r="C12" s="2" t="s">
        <v>354</v>
      </c>
      <c r="D12" s="2" t="s">
        <v>355</v>
      </c>
      <c r="E12" s="2" t="s">
        <v>356</v>
      </c>
      <c r="F12" s="2" t="s">
        <v>84</v>
      </c>
      <c r="G12" s="5" t="s">
        <v>151</v>
      </c>
      <c r="H12" s="2" t="s">
        <v>357</v>
      </c>
      <c r="I12" s="2" t="s">
        <v>352</v>
      </c>
      <c r="J12" s="2"/>
    </row>
    <row r="13" spans="1:10" ht="24" customHeight="1">
      <c r="A13" s="2" t="s">
        <v>347</v>
      </c>
      <c r="B13" s="2" t="s">
        <v>358</v>
      </c>
      <c r="C13" s="2" t="s">
        <v>359</v>
      </c>
      <c r="D13" s="2" t="s">
        <v>360</v>
      </c>
      <c r="E13" s="2" t="s">
        <v>361</v>
      </c>
      <c r="F13" s="2" t="s">
        <v>84</v>
      </c>
      <c r="G13" s="5" t="s">
        <v>151</v>
      </c>
      <c r="H13" s="2" t="s">
        <v>362</v>
      </c>
      <c r="I13" s="2" t="s">
        <v>363</v>
      </c>
      <c r="J13" s="2"/>
    </row>
    <row r="14" spans="1:10" ht="24" customHeight="1">
      <c r="A14" s="2" t="s">
        <v>347</v>
      </c>
      <c r="B14" s="2" t="s">
        <v>364</v>
      </c>
      <c r="C14" s="2" t="s">
        <v>323</v>
      </c>
      <c r="D14" s="2" t="s">
        <v>365</v>
      </c>
      <c r="E14" s="2" t="s">
        <v>366</v>
      </c>
      <c r="F14" s="2" t="s">
        <v>106</v>
      </c>
      <c r="G14" s="5" t="s">
        <v>151</v>
      </c>
      <c r="H14" s="2" t="s">
        <v>367</v>
      </c>
      <c r="I14" s="2" t="s">
        <v>368</v>
      </c>
      <c r="J14" s="2"/>
    </row>
    <row r="15" spans="1:10" ht="24" customHeight="1">
      <c r="A15" s="2" t="s">
        <v>347</v>
      </c>
      <c r="B15" s="2" t="s">
        <v>369</v>
      </c>
      <c r="C15" s="2" t="s">
        <v>370</v>
      </c>
      <c r="D15" s="2" t="s">
        <v>371</v>
      </c>
      <c r="E15" s="2" t="s">
        <v>372</v>
      </c>
      <c r="F15" s="2" t="s">
        <v>98</v>
      </c>
      <c r="G15" s="5" t="s">
        <v>151</v>
      </c>
      <c r="H15" s="2" t="s">
        <v>366</v>
      </c>
      <c r="I15" s="2" t="s">
        <v>373</v>
      </c>
      <c r="J15" s="2"/>
    </row>
    <row r="16" spans="1:10" ht="24" customHeight="1">
      <c r="A16" s="10" t="s">
        <v>374</v>
      </c>
      <c r="B16" s="10" t="s">
        <v>375</v>
      </c>
      <c r="C16" s="10" t="s">
        <v>262</v>
      </c>
      <c r="D16" s="10" t="s">
        <v>376</v>
      </c>
      <c r="E16" s="10" t="s">
        <v>377</v>
      </c>
      <c r="F16" s="10" t="s">
        <v>106</v>
      </c>
      <c r="G16" s="11" t="s">
        <v>151</v>
      </c>
      <c r="H16" s="10" t="s">
        <v>366</v>
      </c>
      <c r="I16" s="10" t="s">
        <v>373</v>
      </c>
      <c r="J16" s="10"/>
    </row>
    <row r="17" spans="1:10" ht="24" customHeight="1">
      <c r="A17" s="2" t="s">
        <v>374</v>
      </c>
      <c r="B17" s="2" t="s">
        <v>378</v>
      </c>
      <c r="C17" s="2" t="s">
        <v>266</v>
      </c>
      <c r="D17" s="2" t="s">
        <v>379</v>
      </c>
      <c r="E17" s="2" t="s">
        <v>380</v>
      </c>
      <c r="F17" s="2" t="s">
        <v>106</v>
      </c>
      <c r="G17" s="5" t="s">
        <v>151</v>
      </c>
      <c r="H17" s="2" t="s">
        <v>366</v>
      </c>
      <c r="I17" s="2" t="s">
        <v>373</v>
      </c>
      <c r="J17" s="2"/>
    </row>
    <row r="18" spans="1:10" ht="24" customHeight="1">
      <c r="A18" s="2" t="s">
        <v>374</v>
      </c>
      <c r="B18" s="2" t="s">
        <v>381</v>
      </c>
      <c r="C18" s="2" t="s">
        <v>382</v>
      </c>
      <c r="D18" s="2" t="s">
        <v>383</v>
      </c>
      <c r="E18" s="2" t="s">
        <v>384</v>
      </c>
      <c r="F18" s="2" t="s">
        <v>385</v>
      </c>
      <c r="G18" s="8" t="s">
        <v>168</v>
      </c>
      <c r="H18" s="2" t="s">
        <v>237</v>
      </c>
      <c r="I18" s="2" t="s">
        <v>386</v>
      </c>
      <c r="J18" s="2"/>
    </row>
    <row r="19" spans="1:10" ht="24" customHeight="1">
      <c r="A19" s="2" t="s">
        <v>374</v>
      </c>
      <c r="B19" s="2" t="s">
        <v>387</v>
      </c>
      <c r="C19" s="2" t="s">
        <v>388</v>
      </c>
      <c r="D19" s="2" t="s">
        <v>389</v>
      </c>
      <c r="E19" s="2" t="s">
        <v>390</v>
      </c>
      <c r="F19" s="2" t="s">
        <v>63</v>
      </c>
      <c r="G19" s="8" t="s">
        <v>168</v>
      </c>
      <c r="H19" s="2" t="s">
        <v>391</v>
      </c>
      <c r="I19" s="2" t="s">
        <v>386</v>
      </c>
      <c r="J19" s="2"/>
    </row>
    <row r="20" spans="1:10" ht="24" customHeight="1">
      <c r="A20" s="2" t="s">
        <v>374</v>
      </c>
      <c r="B20" s="2" t="s">
        <v>392</v>
      </c>
      <c r="C20" s="2" t="s">
        <v>393</v>
      </c>
      <c r="D20" s="2" t="s">
        <v>394</v>
      </c>
      <c r="E20" s="2" t="s">
        <v>395</v>
      </c>
      <c r="F20" s="2" t="s">
        <v>396</v>
      </c>
      <c r="G20" s="5" t="s">
        <v>151</v>
      </c>
      <c r="H20" s="2" t="s">
        <v>397</v>
      </c>
      <c r="I20" s="2" t="s">
        <v>398</v>
      </c>
      <c r="J20" s="2"/>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c071687-f9c9-4ace-8ce2-936f7bedb47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9DA4DFC587EBD46859D429D6F9C347E" ma:contentTypeVersion="9" ma:contentTypeDescription="Create a new document." ma:contentTypeScope="" ma:versionID="2408277065c0163ca34e96d98ae9fe06">
  <xsd:schema xmlns:xsd="http://www.w3.org/2001/XMLSchema" xmlns:xs="http://www.w3.org/2001/XMLSchema" xmlns:p="http://schemas.microsoft.com/office/2006/metadata/properties" xmlns:ns3="bc071687-f9c9-4ace-8ce2-936f7bedb477" targetNamespace="http://schemas.microsoft.com/office/2006/metadata/properties" ma:root="true" ma:fieldsID="33966b3a01cd3390bacf0bbc695a0a97" ns3:_="">
    <xsd:import namespace="bc071687-f9c9-4ace-8ce2-936f7bedb477"/>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071687-f9c9-4ace-8ce2-936f7bedb47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7A5EE2-859F-4BA8-A46B-72A1C933FDC0}">
  <ds:schemaRefs>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bc071687-f9c9-4ace-8ce2-936f7bedb477"/>
    <ds:schemaRef ds:uri="http://www.w3.org/XML/1998/namespace"/>
  </ds:schemaRefs>
</ds:datastoreItem>
</file>

<file path=customXml/itemProps2.xml><?xml version="1.0" encoding="utf-8"?>
<ds:datastoreItem xmlns:ds="http://schemas.openxmlformats.org/officeDocument/2006/customXml" ds:itemID="{C4BB19E9-7378-464B-9EEB-438FA7164C83}">
  <ds:schemaRefs>
    <ds:schemaRef ds:uri="http://schemas.microsoft.com/sharepoint/v3/contenttype/forms"/>
  </ds:schemaRefs>
</ds:datastoreItem>
</file>

<file path=customXml/itemProps3.xml><?xml version="1.0" encoding="utf-8"?>
<ds:datastoreItem xmlns:ds="http://schemas.openxmlformats.org/officeDocument/2006/customXml" ds:itemID="{CF2190B6-DEBE-428F-BAB3-21DDEBFFE6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071687-f9c9-4ace-8ce2-936f7bedb4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Plan</vt:lpstr>
      <vt:lpstr>Feature Checklist MVP</vt:lpstr>
      <vt:lpstr>MVP Work Breakdown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Đức Anh</dc:creator>
  <cp:lastModifiedBy>An Đức Thanh</cp:lastModifiedBy>
  <dcterms:created xsi:type="dcterms:W3CDTF">2026-04-29T00:48:55Z</dcterms:created>
  <dcterms:modified xsi:type="dcterms:W3CDTF">2026-05-04T01:29:35Z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0x01010059DA4DFC587EBD46859D429D6F9C347E</vt:lpwstr>
  </property>
</Properties>
</file>